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onfig" sheetId="2" state="visible" r:id="rId4"/>
    <sheet name="Horario" sheetId="3" state="visible" r:id="rId5"/>
    <sheet name="Docentes" sheetId="4" state="visible" r:id="rId6"/>
    <sheet name="Salones" sheetId="5" state="visible" r:id="rId7"/>
    <sheet name="Redes" sheetId="6" state="visible" r:id="rId8"/>
    <sheet name="Festivos" sheetId="7" state="visible" r:id="rId9"/>
    <sheet name="Registros" sheetId="8" state="visible" r:id="rId10"/>
    <sheet name="Asistencia" sheetId="9" state="visible" r:id="rId11"/>
    <sheet name="Resumen" sheetId="10" state="visible" r:id="rId12"/>
  </sheets>
  <definedNames>
    <definedName function="false" hidden="true" localSheetId="8" name="_xlnm._FilterDatabase" vbProcedure="false">Asistencia!$A$1:$R$1</definedName>
    <definedName function="false" hidden="true" localSheetId="2" name="_xlnm._FilterDatabase" vbProcedure="false">Horario!$A$1:$J$283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<sst xmlns="http://schemas.openxmlformats.org/spreadsheetml/2006/main" count="3022" uniqueCount="809">
  <si>
    <t xml:space="preserve">Pulso – Asistencia docente · Departamento de Electricidad y Electrónica</t>
  </si>
  <si>
    <t xml:space="preserve">CÓMO LO USA EL DOCENTE</t>
  </si>
  <si>
    <t xml:space="preserve">1</t>
  </si>
  <si>
    <t xml:space="preserve">Recibe por correo su enlace personal y lo guarda en la pantalla de inicio del celular (una sola vez).</t>
  </si>
  <si>
    <t xml:space="preserve">2</t>
  </si>
  <si>
    <t xml:space="preserve">Al llegar al salón: se conecta al WiFi de la UFPS, abre el enlace y toca “Registrar asistencia”. La página ya muestra su clase, el salón y la hora.</t>
  </si>
  <si>
    <t xml:space="preserve">POR QUÉ ES SEGURO SIN PANTALLAS NI PERSONAL</t>
  </si>
  <si>
    <t xml:space="preserve">•</t>
  </si>
  <si>
    <t xml:space="preserve">Red WiFi: la página pasa por un Cloudflare Worker (gratis) que ve la IP real de la conexión. Un GPS falso cambia la ubicación, pero desde la casa la conexión no sale por la red de la UFPS. El celular no puede falsificar esa IP.</t>
  </si>
  <si>
    <t xml:space="preserve">GPS: 3 lecturas frescas, precisión mínima y radio del campus. Además detecta patrones de apps de GPS falso (coordenadas congeladas, precisión irreal, saltos imposibles, coordenadas idénticas a otro día).</t>
  </si>
  <si>
    <t xml:space="preserve">Celular vinculado: el enlace queda atado al primer celular donde se abre. Si se reenvía el enlace a otra persona, no funciona.</t>
  </si>
  <si>
    <t xml:space="preserve">Horario: solo se puede registrar desde 15 min antes del inicio hasta el final de la clase que el docente tiene programada.</t>
  </si>
  <si>
    <t xml:space="preserve">Firma: el Apps Script solo acepta solicitudes firmadas por el Worker; no se puede saltar llamando directo al servidor.</t>
  </si>
  <si>
    <t xml:space="preserve">Foto en vivo: opcional (Config). Si la activas, queda la selfie en Drive como evidencia.</t>
  </si>
  <si>
    <t xml:space="preserve">INSTALACIÓN DESDE GITHUB</t>
  </si>
  <si>
    <t xml:space="preserve">Sube este archivo a Google Drive → Abrir con Hojas de cálculo de Google → Archivo → Guardar como Hojas de cálculo de Google. Mantén la hoja PRIVADA.</t>
  </si>
  <si>
    <t xml:space="preserve">En la hoja: Extensiones → Apps Script → engranaje (Configuración del proyecto) → copia el “ID de la secuencia de comandos”. Ese es el SCRIPT_ID para GitHub.</t>
  </si>
  <si>
    <t xml:space="preserve">3</t>
  </si>
  <si>
    <t xml:space="preserve">Sigue el README del repositorio: el workflow “Desplegar” de GitHub sube el código a Apps Script y a Cloudflare automáticamente.</t>
  </si>
  <si>
    <t xml:space="preserve">4</t>
  </si>
  <si>
    <t xml:space="preserve">Después del primer despliegue: recarga esta hoja → menú Pulso · Asistencia → 1. Autorizar y verificar instalación (acepta los permisos).</t>
  </si>
  <si>
    <t xml:space="preserve">5</t>
  </si>
  <si>
    <t xml:space="preserve">En Config pega la “URL del Worker” que aparece en el resumen del workflow en GitHub, tu correo y las fechas. Llena la columna Correo en Docentes.</t>
  </si>
  <si>
    <t xml:space="preserve">6</t>
  </si>
  <si>
    <t xml:space="preserve">Menú → 2. Generar enlaces → 3. Enviar enlaces → 4. Activar automatización.</t>
  </si>
  <si>
    <t xml:space="preserve">Cambios futuros al código: se hacen en GitHub. Cada cambio en la rama main se prueba y se despliega solo; la URL no cambia.</t>
  </si>
  <si>
    <t xml:space="preserve">ACTIVAR LA RED WIFI (semanas 1–2)</t>
  </si>
  <si>
    <t xml:space="preserve">Empieza con Validación de red = ALERTA: registra y marca quién está fuera de la red, sin rechazar.</t>
  </si>
  <si>
    <t xml:space="preserve">Cada noche la hoja Redes se llena sola con las redes desde donde registran los docentes. Escribe SI en “Aprobada” solo en la red de la universidad (la que usan muchos docentes y no es Claro/Movistar/Tigo/WOM). Mejor aún: pide a Sistemas de la UFPS los rangos de IP públicos del WiFi y agrégalos como filas aprobadas.</t>
  </si>
  <si>
    <t xml:space="preserve">Cuando la red esté aprobada, cambia Validación de red a EXIGIR: desde ese momento solo se acepta el registro conectado al WiFi UFPS.</t>
  </si>
  <si>
    <t xml:space="preserve">LÍMITES (para que lo tengas claro)</t>
  </si>
  <si>
    <t xml:space="preserve">Valida que el docente está en la universidad durante su horario, no el salón exacto: sin hardware (pantallas o balizas) ningún celular puede probar en qué salón está. Puedes acotar por bloque llenando lat/lng/radio en Salones.</t>
  </si>
  <si>
    <t xml:space="preserve">Si la UFPS tiene VPN para docentes, excluye su rango (no lo apruebes) para que no se pueda registrar desde la casa por VPN.</t>
  </si>
  <si>
    <t xml:space="preserve">Un docente podría entregarle su celular a otra persona en el campus. Para eso existe la foto opcional y la alerta de celular compartido.</t>
  </si>
  <si>
    <t xml:space="preserve">La ubicación, la IP y la foto son datos personales (Ley 1581 de 2012): informa a los docentes y obtén su autorización.</t>
  </si>
  <si>
    <t xml:space="preserve">MANTENIMIENTO</t>
  </si>
  <si>
    <t xml:space="preserve">Docente cambió de celular o borró los datos del navegador: borra su celda en Docentes → Celular vinculado.</t>
  </si>
  <si>
    <t xml:space="preserve">Enlace filtrado: borra su celda Clave del enlace → menú 2 y 3 (el enlace anterior deja de funcionar).</t>
  </si>
  <si>
    <t xml:space="preserve">Salón virtual o fuera del campus (TE000): Exige ubicación = NO en Salones (queda con alerta).</t>
  </si>
  <si>
    <t xml:space="preserve">Parámetro</t>
  </si>
  <si>
    <t xml:space="preserve">Valor</t>
  </si>
  <si>
    <t xml:space="preserve">Nota</t>
  </si>
  <si>
    <t xml:space="preserve">URL del Worker</t>
  </si>
  <si>
    <t xml:space="preserve">Aparece en el resumen del workflow Desplegar en GitHub (ej. https://pulso-ufps.tu-usuario.workers.dev).</t>
  </si>
  <si>
    <t xml:space="preserve">Correo del coordinador</t>
  </si>
  <si>
    <t xml:space="preserve">Alertas y reporte diario. Varios correos separados por coma.</t>
  </si>
  <si>
    <t xml:space="preserve">Validación de red WiFi (NO/ALERTA/EXIGIR)</t>
  </si>
  <si>
    <t xml:space="preserve">ALERTA</t>
  </si>
  <si>
    <t xml:space="preserve">ALERTA las primeras semanas mientras apruebas la red en la hoja Redes; luego EXIGIR.</t>
  </si>
  <si>
    <t xml:space="preserve">Latitud del campus</t>
  </si>
  <si>
    <t xml:space="preserve">UFPS sede principal, Av. Gran Colombia 12E-96 (Google Maps).</t>
  </si>
  <si>
    <t xml:space="preserve">Longitud del campus</t>
  </si>
  <si>
    <t xml:space="preserve">Radio permitido (m)</t>
  </si>
  <si>
    <t xml:space="preserve">Distancia máxima al punto central (cada salón puede tener el suyo en Salones).</t>
  </si>
  <si>
    <t xml:space="preserve">Precisión GPS máxima (m)</t>
  </si>
  <si>
    <t xml:space="preserve">Lecturas menos precisas se rechazan.</t>
  </si>
  <si>
    <t xml:space="preserve">Lecturas GPS mínimas</t>
  </si>
  <si>
    <t xml:space="preserve">Bloquear si cambia el celular (SI/NO)</t>
  </si>
  <si>
    <t xml:space="preserve">SI</t>
  </si>
  <si>
    <t xml:space="preserve">SI: el enlace solo funciona en el celular vinculado. NO: solo alerta.</t>
  </si>
  <si>
    <t xml:space="preserve">Exigir foto en vivo (SI/NO)</t>
  </si>
  <si>
    <t xml:space="preserve">NO</t>
  </si>
  <si>
    <t xml:space="preserve">SI agrega una selfie como evidencia (guardada en Drive).</t>
  </si>
  <si>
    <t xml:space="preserve">Correo inmediato por alertas (SI/NO)</t>
  </si>
  <si>
    <t xml:space="preserve">Registro aceptado con algo sospechoso (GPS, red, celular).</t>
  </si>
  <si>
    <t xml:space="preserve">Minutos antes del inicio para registrar</t>
  </si>
  <si>
    <t xml:space="preserve">Tolerancia de llegada (min)</t>
  </si>
  <si>
    <t xml:space="preserve">Hasta cuántos minutos después del inicio cuenta como “A tiempo”.</t>
  </si>
  <si>
    <t xml:space="preserve">Enviar alertas de no registro (SI/NO)</t>
  </si>
  <si>
    <t xml:space="preserve">Correo cuando una clase pasa la tolerancia sin registro.</t>
  </si>
  <si>
    <t xml:space="preserve">Fecha inicio de control</t>
  </si>
  <si>
    <t xml:space="preserve">Antes de esta fecha no se marcan inasistencias.</t>
  </si>
  <si>
    <t xml:space="preserve">Fecha fin de control</t>
  </si>
  <si>
    <t xml:space="preserve">Último día de clases del semestre.</t>
  </si>
  <si>
    <t xml:space="preserve">ID clase</t>
  </si>
  <si>
    <t xml:space="preserve">Día</t>
  </si>
  <si>
    <t xml:space="preserve">Hora inicio</t>
  </si>
  <si>
    <t xml:space="preserve">Hora fin</t>
  </si>
  <si>
    <t xml:space="preserve">Código materia</t>
  </si>
  <si>
    <t xml:space="preserve">Materia</t>
  </si>
  <si>
    <t xml:space="preserve">Código docente</t>
  </si>
  <si>
    <t xml:space="preserve">Docente</t>
  </si>
  <si>
    <t xml:space="preserve">Salón</t>
  </si>
  <si>
    <t xml:space="preserve">Alumnos</t>
  </si>
  <si>
    <t xml:space="preserve">04528-1090811A-LUN-0600</t>
  </si>
  <si>
    <t xml:space="preserve">Lunes</t>
  </si>
  <si>
    <t xml:space="preserve">06:00</t>
  </si>
  <si>
    <t xml:space="preserve">08:00</t>
  </si>
  <si>
    <t xml:space="preserve">1090811A</t>
  </si>
  <si>
    <t xml:space="preserve">MICROCONTROLADORES</t>
  </si>
  <si>
    <t xml:space="preserve">04528</t>
  </si>
  <si>
    <t xml:space="preserve">MEDINA DURAN JOHNNY OMAR</t>
  </si>
  <si>
    <t xml:space="preserve">AG102</t>
  </si>
  <si>
    <t xml:space="preserve">07663-1160071A-LUN-0600</t>
  </si>
  <si>
    <t xml:space="preserve">07:00</t>
  </si>
  <si>
    <t xml:space="preserve">1160071A</t>
  </si>
  <si>
    <t xml:space="preserve">DISEÑO DIGITAL</t>
  </si>
  <si>
    <t xml:space="preserve">07663</t>
  </si>
  <si>
    <t xml:space="preserve">DUQUE SUAREZ OSCAR MANUEL</t>
  </si>
  <si>
    <t xml:space="preserve">AG103</t>
  </si>
  <si>
    <t xml:space="preserve">06667-1160053A-LUN-0600</t>
  </si>
  <si>
    <t xml:space="preserve">1160053A</t>
  </si>
  <si>
    <t xml:space="preserve">MEDICION ELECTRONICA</t>
  </si>
  <si>
    <t xml:space="preserve">06667</t>
  </si>
  <si>
    <t xml:space="preserve">BARBOSA CASANOVA GEINER GIOVANNY</t>
  </si>
  <si>
    <t xml:space="preserve">AG104</t>
  </si>
  <si>
    <t xml:space="preserve">05497-1090344A-LUN-0600</t>
  </si>
  <si>
    <t xml:space="preserve">1090344A</t>
  </si>
  <si>
    <t xml:space="preserve">ANALISIS DE CIRCUITOS DC</t>
  </si>
  <si>
    <t xml:space="preserve">05497</t>
  </si>
  <si>
    <t xml:space="preserve">RESTREPO CHAUSTRE YESENIA</t>
  </si>
  <si>
    <t xml:space="preserve">AG201</t>
  </si>
  <si>
    <t xml:space="preserve">05233-1090244B-LUN-0600</t>
  </si>
  <si>
    <t xml:space="preserve">1090244B</t>
  </si>
  <si>
    <t xml:space="preserve">LECTURA CRITICA</t>
  </si>
  <si>
    <t xml:space="preserve">05233</t>
  </si>
  <si>
    <t xml:space="preserve">GALVIS MONTAGUT ALEXANDRA</t>
  </si>
  <si>
    <t xml:space="preserve">AG204</t>
  </si>
  <si>
    <t xml:space="preserve">07664-1090814A-LUN-0600</t>
  </si>
  <si>
    <t xml:space="preserve">1090814A</t>
  </si>
  <si>
    <t xml:space="preserve">ENERGIAS RENOVABLES</t>
  </si>
  <si>
    <t xml:space="preserve">07664</t>
  </si>
  <si>
    <t xml:space="preserve">VALOYES GELVEZ JOSE ELKIN</t>
  </si>
  <si>
    <t xml:space="preserve">LE102</t>
  </si>
  <si>
    <t xml:space="preserve">01243-1160092D-LUN-0600</t>
  </si>
  <si>
    <t xml:space="preserve">1160092D</t>
  </si>
  <si>
    <t xml:space="preserve">ARQUITECTURA DE COMPUTADORES</t>
  </si>
  <si>
    <t xml:space="preserve">01243</t>
  </si>
  <si>
    <t xml:space="preserve">QUINTERO AYALA SERGIO IVAN</t>
  </si>
  <si>
    <t xml:space="preserve">LE103</t>
  </si>
  <si>
    <t xml:space="preserve">07582-1090544A-LUN-0600</t>
  </si>
  <si>
    <t xml:space="preserve">1090544A</t>
  </si>
  <si>
    <t xml:space="preserve">SEÑALES Y SISTEMAS</t>
  </si>
  <si>
    <t xml:space="preserve">07582</t>
  </si>
  <si>
    <t xml:space="preserve">SANTANDER VILLAMIZAR JOSE LEONARDO ANDRES</t>
  </si>
  <si>
    <t xml:space="preserve">LG107</t>
  </si>
  <si>
    <t xml:space="preserve">06274-1160061A-LUN-0600</t>
  </si>
  <si>
    <t xml:space="preserve">1160061A</t>
  </si>
  <si>
    <t xml:space="preserve">ELECTRONICA I</t>
  </si>
  <si>
    <t xml:space="preserve">06274</t>
  </si>
  <si>
    <t xml:space="preserve">LOPEZ BUSTAMANTE ORIANA ALEXANDRA</t>
  </si>
  <si>
    <t xml:space="preserve">LG108</t>
  </si>
  <si>
    <t xml:space="preserve">06921-1160081B-LUN-0600</t>
  </si>
  <si>
    <t xml:space="preserve">1160081B</t>
  </si>
  <si>
    <t xml:space="preserve">ELECTRONICA III</t>
  </si>
  <si>
    <t xml:space="preserve">06921</t>
  </si>
  <si>
    <t xml:space="preserve">CARDOZO SARMIENTO DARWIN ORLANDO</t>
  </si>
  <si>
    <t xml:space="preserve">LG109</t>
  </si>
  <si>
    <t xml:space="preserve">04068-1090714B-LUN-0600</t>
  </si>
  <si>
    <t xml:space="preserve">1090714B</t>
  </si>
  <si>
    <t xml:space="preserve">ELECTRONICA II</t>
  </si>
  <si>
    <t xml:space="preserve">04068</t>
  </si>
  <si>
    <t xml:space="preserve">FERREIRA JAIMES JULIAN</t>
  </si>
  <si>
    <t xml:space="preserve">LG110</t>
  </si>
  <si>
    <t xml:space="preserve">05497-1090713B-LUN-0800</t>
  </si>
  <si>
    <t xml:space="preserve">10:00</t>
  </si>
  <si>
    <t xml:space="preserve">1090713B</t>
  </si>
  <si>
    <t xml:space="preserve">CONTROL AUTOMATICO</t>
  </si>
  <si>
    <t xml:space="preserve">AG101</t>
  </si>
  <si>
    <t xml:space="preserve">05233-1090819A-LUN-0800</t>
  </si>
  <si>
    <t xml:space="preserve">1090819A</t>
  </si>
  <si>
    <t xml:space="preserve">INGENIERIA DE PROYECTOS ELECTROMECANICOS</t>
  </si>
  <si>
    <t xml:space="preserve">06274-1160070A-LUN-0800</t>
  </si>
  <si>
    <t xml:space="preserve">09:00</t>
  </si>
  <si>
    <t xml:space="preserve">1160070A</t>
  </si>
  <si>
    <t xml:space="preserve">07428-1160054A-LUN-0800</t>
  </si>
  <si>
    <t xml:space="preserve">1160054A</t>
  </si>
  <si>
    <t xml:space="preserve">CURSO INTEGRADOR I</t>
  </si>
  <si>
    <t xml:space="preserve">07428</t>
  </si>
  <si>
    <t xml:space="preserve">FUENTES FUENTES JORGE LEONARDO</t>
  </si>
  <si>
    <t xml:space="preserve">05041-1090914B-LUN-0800</t>
  </si>
  <si>
    <t xml:space="preserve">1090914B</t>
  </si>
  <si>
    <t xml:space="preserve">ELECTRONICA DE POTENCIA II</t>
  </si>
  <si>
    <t xml:space="preserve">05041</t>
  </si>
  <si>
    <t xml:space="preserve">TARAZONA CELIS CRISTIAN LEONARDO</t>
  </si>
  <si>
    <t xml:space="preserve">05177-1160043C-LUN-0800</t>
  </si>
  <si>
    <t xml:space="preserve">1160043C</t>
  </si>
  <si>
    <t xml:space="preserve">TEORIA ELECTROMAGNETICA</t>
  </si>
  <si>
    <t xml:space="preserve">05177</t>
  </si>
  <si>
    <t xml:space="preserve">PAEZ PEÑA ANDRES EDUARDO</t>
  </si>
  <si>
    <t xml:space="preserve">04068-1090541A-LUN-0800</t>
  </si>
  <si>
    <t xml:space="preserve">1090541A</t>
  </si>
  <si>
    <t xml:space="preserve">04541-1160072A-LUN-0900</t>
  </si>
  <si>
    <t xml:space="preserve">1160072A</t>
  </si>
  <si>
    <t xml:space="preserve">MEDIOS DE TRANSMISION</t>
  </si>
  <si>
    <t xml:space="preserve">04541</t>
  </si>
  <si>
    <t xml:space="preserve">MEDINA DELGADO BYRON</t>
  </si>
  <si>
    <t xml:space="preserve">05247-1090413B-LUN-0900</t>
  </si>
  <si>
    <t xml:space="preserve">1090413B</t>
  </si>
  <si>
    <t xml:space="preserve">CIENCIAS DE LOS MATERIALES</t>
  </si>
  <si>
    <t xml:space="preserve">05247</t>
  </si>
  <si>
    <t xml:space="preserve">BAUTISTA RUIZ JORGE HERNANDO</t>
  </si>
  <si>
    <t xml:space="preserve">05177-1160043B-LUN-0900</t>
  </si>
  <si>
    <t xml:space="preserve">1160043B</t>
  </si>
  <si>
    <t xml:space="preserve">02247-1090444C-LUN-1000</t>
  </si>
  <si>
    <t xml:space="preserve">11:00</t>
  </si>
  <si>
    <t xml:space="preserve">1090444C</t>
  </si>
  <si>
    <t xml:space="preserve">ANALISIS DE CIRCUITOS AC</t>
  </si>
  <si>
    <t xml:space="preserve">02247</t>
  </si>
  <si>
    <t xml:space="preserve">BERMUDEZ SANTAELLA JOSE RICARDO</t>
  </si>
  <si>
    <t xml:space="preserve">04184-1160093A-LUN-1000</t>
  </si>
  <si>
    <t xml:space="preserve">12:00</t>
  </si>
  <si>
    <t xml:space="preserve">1160093A</t>
  </si>
  <si>
    <t xml:space="preserve">SISTEMAS DE COMUNICACIONES II</t>
  </si>
  <si>
    <t xml:space="preserve">04184</t>
  </si>
  <si>
    <t xml:space="preserve">PUERTO LOPEZ KARLA CECILIA</t>
  </si>
  <si>
    <t xml:space="preserve">05636-1161108A-LUN-1000</t>
  </si>
  <si>
    <t xml:space="preserve">1161108A</t>
  </si>
  <si>
    <t xml:space="preserve">AUTOMATIZACION INDUSTRIAL</t>
  </si>
  <si>
    <t xml:space="preserve">05636</t>
  </si>
  <si>
    <t xml:space="preserve">MORENO GARCIA FRANCISCO ERNESTO</t>
  </si>
  <si>
    <t xml:space="preserve">05247-1090820A-LUN-1000</t>
  </si>
  <si>
    <t xml:space="preserve">1090820A</t>
  </si>
  <si>
    <t xml:space="preserve">PROYECTO INTEGRADOR II</t>
  </si>
  <si>
    <t xml:space="preserve">AG105</t>
  </si>
  <si>
    <t xml:space="preserve">07582-1090614D-LUN-1000</t>
  </si>
  <si>
    <t xml:space="preserve">1090614D</t>
  </si>
  <si>
    <t xml:space="preserve">LOGICA Y DISEÑO DIGITAL</t>
  </si>
  <si>
    <t xml:space="preserve">05233-1922402A-LUN-1000</t>
  </si>
  <si>
    <t xml:space="preserve">1922402A</t>
  </si>
  <si>
    <t xml:space="preserve">ELECTRICIDAD E INSTALACIONES ELECTRICAS EN</t>
  </si>
  <si>
    <t xml:space="preserve">AG206</t>
  </si>
  <si>
    <t xml:space="preserve">03161-1160080A-LUN-1000</t>
  </si>
  <si>
    <t xml:space="preserve">1160080A</t>
  </si>
  <si>
    <t xml:space="preserve">SISTEMAS DE CONTROL</t>
  </si>
  <si>
    <t xml:space="preserve">03161</t>
  </si>
  <si>
    <t xml:space="preserve">RAMIREZ MATEUS JOHN JAIRO</t>
  </si>
  <si>
    <t xml:space="preserve">04541-1160072A-LUN-1000</t>
  </si>
  <si>
    <t xml:space="preserve">LE104</t>
  </si>
  <si>
    <t xml:space="preserve">06274-1160061C-LUN-1000</t>
  </si>
  <si>
    <t xml:space="preserve">1160061C</t>
  </si>
  <si>
    <t xml:space="preserve">00076-1090444A-LUN-1100</t>
  </si>
  <si>
    <t xml:space="preserve">1090444A</t>
  </si>
  <si>
    <t xml:space="preserve">00076</t>
  </si>
  <si>
    <t xml:space="preserve">DAVILA MARQUEZ LUIS RODOLFO</t>
  </si>
  <si>
    <t xml:space="preserve">02247-1090444C-LUN-1100</t>
  </si>
  <si>
    <t xml:space="preserve">07583-1160090B-LUN-1400</t>
  </si>
  <si>
    <t xml:space="preserve">14:00</t>
  </si>
  <si>
    <t xml:space="preserve">16:00</t>
  </si>
  <si>
    <t xml:space="preserve">1160090B</t>
  </si>
  <si>
    <t xml:space="preserve">CONTROL DIGITAL</t>
  </si>
  <si>
    <t xml:space="preserve">07583</t>
  </si>
  <si>
    <t xml:space="preserve">ARIAS BOTELLO JOHN FREDY</t>
  </si>
  <si>
    <t xml:space="preserve">03565-1090817A-LUN-1400</t>
  </si>
  <si>
    <t xml:space="preserve">1090817A</t>
  </si>
  <si>
    <t xml:space="preserve">ELECTRONICA DE POTENCIA I</t>
  </si>
  <si>
    <t xml:space="preserve">03565</t>
  </si>
  <si>
    <t xml:space="preserve">RANGEL ROLON JOSE ALEJO</t>
  </si>
  <si>
    <t xml:space="preserve">05177-1160043A-LUN-1400</t>
  </si>
  <si>
    <t xml:space="preserve">1160043A</t>
  </si>
  <si>
    <t xml:space="preserve">05508-1160082A-LUN-1400</t>
  </si>
  <si>
    <t xml:space="preserve">1160082A</t>
  </si>
  <si>
    <t xml:space="preserve">INSTRUMENTACION ELECTRONICA</t>
  </si>
  <si>
    <t xml:space="preserve">05508</t>
  </si>
  <si>
    <t xml:space="preserve">CASTRO CASADIEGO SERGIO ALEXANDER</t>
  </si>
  <si>
    <t xml:space="preserve">01373-1160083B-LUN-1400</t>
  </si>
  <si>
    <t xml:space="preserve">1160083B</t>
  </si>
  <si>
    <t xml:space="preserve">SISTEMAS DE COMUNICACIONES I</t>
  </si>
  <si>
    <t xml:space="preserve">01373</t>
  </si>
  <si>
    <t xml:space="preserve">GUEVARA IBARRA DINAEL</t>
  </si>
  <si>
    <t xml:space="preserve">07707-1160091D-LUN-1400</t>
  </si>
  <si>
    <t xml:space="preserve">1160091D</t>
  </si>
  <si>
    <t xml:space="preserve">ELECTRONICA DE POTENCIA</t>
  </si>
  <si>
    <t xml:space="preserve">07707</t>
  </si>
  <si>
    <t xml:space="preserve">NIÑO RONDON CARLOS VICENTE</t>
  </si>
  <si>
    <t xml:space="preserve">LE106</t>
  </si>
  <si>
    <t xml:space="preserve">06921-1161124A-LUN-1400</t>
  </si>
  <si>
    <t xml:space="preserve">1161124A</t>
  </si>
  <si>
    <t xml:space="preserve">APRENDIZAJE PROFUNDO</t>
  </si>
  <si>
    <t xml:space="preserve">06374-1090614A-LUN-1400</t>
  </si>
  <si>
    <t xml:space="preserve">1090614A</t>
  </si>
  <si>
    <t xml:space="preserve">06374</t>
  </si>
  <si>
    <t xml:space="preserve">CHINCHILLA HERRERA NORBEY</t>
  </si>
  <si>
    <t xml:space="preserve">06290-1160072D-LUN-1500</t>
  </si>
  <si>
    <t xml:space="preserve">15:00</t>
  </si>
  <si>
    <t xml:space="preserve">1160072D</t>
  </si>
  <si>
    <t xml:space="preserve">06290</t>
  </si>
  <si>
    <t xml:space="preserve">GARCIA BERMUDEZ MARCO AURELIO</t>
  </si>
  <si>
    <t xml:space="preserve">06374-1090712A-LUN-1600</t>
  </si>
  <si>
    <t xml:space="preserve">18:00</t>
  </si>
  <si>
    <t xml:space="preserve">1090712A</t>
  </si>
  <si>
    <t xml:space="preserve">INSTRUMENTACION INDUSTRIAL</t>
  </si>
  <si>
    <t xml:space="preserve">05508-1160082C-LUN-1600</t>
  </si>
  <si>
    <t xml:space="preserve">1160082C</t>
  </si>
  <si>
    <t xml:space="preserve">06285-1160042C-LUN-1600</t>
  </si>
  <si>
    <t xml:space="preserve">1160042C</t>
  </si>
  <si>
    <t xml:space="preserve">ANALISIS DE CIRCUITOS EN C.D.</t>
  </si>
  <si>
    <t xml:space="preserve">06285</t>
  </si>
  <si>
    <t xml:space="preserve">TARAZONA ANTELIZ JULIAN ORLANDO</t>
  </si>
  <si>
    <t xml:space="preserve">05247-1090415B-LUN-1600</t>
  </si>
  <si>
    <t xml:space="preserve">1090415B</t>
  </si>
  <si>
    <t xml:space="preserve">PROYECTO INTEGRADOR I</t>
  </si>
  <si>
    <t xml:space="preserve">03350-1090445B-LUN-1600</t>
  </si>
  <si>
    <t xml:space="preserve">17:00</t>
  </si>
  <si>
    <t xml:space="preserve">1090445B</t>
  </si>
  <si>
    <t xml:space="preserve">FUNDAMENTOS MECANICOS PARA INGENIEROS</t>
  </si>
  <si>
    <t xml:space="preserve">03350</t>
  </si>
  <si>
    <t xml:space="preserve">QUIÑONEZ DELGADO YENY PATRICIA</t>
  </si>
  <si>
    <t xml:space="preserve">06290-1160070C-LUN-1600</t>
  </si>
  <si>
    <t xml:space="preserve">1160070C</t>
  </si>
  <si>
    <t xml:space="preserve">AG301</t>
  </si>
  <si>
    <t xml:space="preserve">01504-1090818A-LUN-1600</t>
  </si>
  <si>
    <t xml:space="preserve">1090818A</t>
  </si>
  <si>
    <t xml:space="preserve">MAQUINAS ELECTRICAS II</t>
  </si>
  <si>
    <t xml:space="preserve">01504</t>
  </si>
  <si>
    <t xml:space="preserve">BECERRA VARGAS JOSE ARMANDO</t>
  </si>
  <si>
    <t xml:space="preserve">01373-1161114A-LUN-1600</t>
  </si>
  <si>
    <t xml:space="preserve">1161114A</t>
  </si>
  <si>
    <t xml:space="preserve">TEORIA DE ANTENAS</t>
  </si>
  <si>
    <t xml:space="preserve">07583-1160091C-LUN-1600</t>
  </si>
  <si>
    <t xml:space="preserve">1160091C</t>
  </si>
  <si>
    <t xml:space="preserve">06667-1160052F-LUN-1600</t>
  </si>
  <si>
    <t xml:space="preserve">1160052F</t>
  </si>
  <si>
    <t xml:space="preserve">ANALISIS DE CIRCUITOS EN C.A.</t>
  </si>
  <si>
    <t xml:space="preserve">07418-1155503A-LUN-1600</t>
  </si>
  <si>
    <t xml:space="preserve">1155503A</t>
  </si>
  <si>
    <t xml:space="preserve">ELECTRONICA</t>
  </si>
  <si>
    <t xml:space="preserve">07418</t>
  </si>
  <si>
    <t xml:space="preserve">DUQUE SUAREZ MARIA CAROLINA</t>
  </si>
  <si>
    <t xml:space="preserve">05636-1160084A-LUN-1600</t>
  </si>
  <si>
    <t xml:space="preserve">1160084A</t>
  </si>
  <si>
    <t xml:space="preserve">CURSO INTEGRADOR II</t>
  </si>
  <si>
    <t xml:space="preserve">03565-1090540A-LUN-1700</t>
  </si>
  <si>
    <t xml:space="preserve">1090540A</t>
  </si>
  <si>
    <t xml:space="preserve">07707-2150304A-LUN-1800</t>
  </si>
  <si>
    <t xml:space="preserve">19:00</t>
  </si>
  <si>
    <t xml:space="preserve">2150304A</t>
  </si>
  <si>
    <t xml:space="preserve">MATEMÁTICAS DISCRETAS</t>
  </si>
  <si>
    <t xml:space="preserve">TE000</t>
  </si>
  <si>
    <t xml:space="preserve">07784-2150203A-LUN-1800</t>
  </si>
  <si>
    <t xml:space="preserve">2150203A</t>
  </si>
  <si>
    <t xml:space="preserve">ESTADÍSTICA DESCRIPTIVA Y PROBABILIDAD</t>
  </si>
  <si>
    <t xml:space="preserve">07784</t>
  </si>
  <si>
    <t xml:space="preserve">RAMIREZ CARVAJAL LUIS EDUARDO</t>
  </si>
  <si>
    <t xml:space="preserve">04528-1091012A-MAR-0600</t>
  </si>
  <si>
    <t xml:space="preserve">Martes</t>
  </si>
  <si>
    <t xml:space="preserve">1091012A</t>
  </si>
  <si>
    <t xml:space="preserve">SISTEMAS SUPERVISORIOS</t>
  </si>
  <si>
    <t xml:space="preserve">05233-1090243A-MAR-0600</t>
  </si>
  <si>
    <t xml:space="preserve">1090243A</t>
  </si>
  <si>
    <t xml:space="preserve">PENSAMIENTO CRITICO</t>
  </si>
  <si>
    <t xml:space="preserve">04068-1090541A-MAR-0600</t>
  </si>
  <si>
    <t xml:space="preserve">05041-1090816A-MAR-0600</t>
  </si>
  <si>
    <t xml:space="preserve">1090816A</t>
  </si>
  <si>
    <t xml:space="preserve">AG202</t>
  </si>
  <si>
    <t xml:space="preserve">07784-1160073A-MAR-0600</t>
  </si>
  <si>
    <t xml:space="preserve">1160073A</t>
  </si>
  <si>
    <t xml:space="preserve">FORMULACION Y GESTION DE PROYECTOS EN INGE</t>
  </si>
  <si>
    <t xml:space="preserve">07708-1160062A-MAR-0600</t>
  </si>
  <si>
    <t xml:space="preserve">1160062A</t>
  </si>
  <si>
    <t xml:space="preserve">TEORIA DE SEÑALES Y SISTEMAS</t>
  </si>
  <si>
    <t xml:space="preserve">07708</t>
  </si>
  <si>
    <t xml:space="preserve">BARRIENTOS SANDOVAL LUIS EDUARDO</t>
  </si>
  <si>
    <t xml:space="preserve">AG403</t>
  </si>
  <si>
    <t xml:space="preserve">06290-1160072D-MAR-0600</t>
  </si>
  <si>
    <t xml:space="preserve">07091-1160091A-MAR-0600</t>
  </si>
  <si>
    <t xml:space="preserve">1160091A</t>
  </si>
  <si>
    <t xml:space="preserve">07091</t>
  </si>
  <si>
    <t xml:space="preserve">ILLERA BUSTOS MARIO JOAQUIN</t>
  </si>
  <si>
    <t xml:space="preserve">07663-1090441C-MAR-0600</t>
  </si>
  <si>
    <t xml:space="preserve">1090441C</t>
  </si>
  <si>
    <t xml:space="preserve">MEDICIONES ELECTRICAS</t>
  </si>
  <si>
    <t xml:space="preserve">07091-1160091A-MAR-0700</t>
  </si>
  <si>
    <t xml:space="preserve">06921-1160081A-MAR-0700</t>
  </si>
  <si>
    <t xml:space="preserve">1160081A</t>
  </si>
  <si>
    <t xml:space="preserve">06667-1160052B-MAR-0700</t>
  </si>
  <si>
    <t xml:space="preserve">1160052B</t>
  </si>
  <si>
    <t xml:space="preserve">01504-1090818A-MAR-0800</t>
  </si>
  <si>
    <t xml:space="preserve">01373-1161114A-MAR-0800</t>
  </si>
  <si>
    <t xml:space="preserve">05497-1090344B-MAR-0800</t>
  </si>
  <si>
    <t xml:space="preserve">1090344B</t>
  </si>
  <si>
    <t xml:space="preserve">03350-1090511A-MAR-0800</t>
  </si>
  <si>
    <t xml:space="preserve">1090511A</t>
  </si>
  <si>
    <t xml:space="preserve">MODELAMIENTO DE PROCESOS INDUSTRIALES</t>
  </si>
  <si>
    <t xml:space="preserve">05233-1091007A-MAR-0800</t>
  </si>
  <si>
    <t xml:space="preserve">1091007A</t>
  </si>
  <si>
    <t xml:space="preserve">CALIDAD Y ENERGIA</t>
  </si>
  <si>
    <t xml:space="preserve">04528-1090913A-MAR-0800</t>
  </si>
  <si>
    <t xml:space="preserve">1090913A</t>
  </si>
  <si>
    <t xml:space="preserve">AUTOMATIZACIÓN INDUSTRIAL CIM</t>
  </si>
  <si>
    <t xml:space="preserve">05041-1090715C-MAR-0800</t>
  </si>
  <si>
    <t xml:space="preserve">1090715C</t>
  </si>
  <si>
    <t xml:space="preserve">MAQUINAS ELECTRICAS I</t>
  </si>
  <si>
    <t xml:space="preserve">04184-1160093A-MAR-0800</t>
  </si>
  <si>
    <t xml:space="preserve">06667-1160052C-MAR-0800</t>
  </si>
  <si>
    <t xml:space="preserve">1160052C</t>
  </si>
  <si>
    <t xml:space="preserve">07428-1161112B-MAR-0800</t>
  </si>
  <si>
    <t xml:space="preserve">1161112B</t>
  </si>
  <si>
    <t xml:space="preserve">ENERGIA SOLAR FOTOVOLTAICA</t>
  </si>
  <si>
    <t xml:space="preserve">06274-1160070A-MAR-0800</t>
  </si>
  <si>
    <t xml:space="preserve">04068-1090541B-MAR-0800</t>
  </si>
  <si>
    <t xml:space="preserve">1090541B</t>
  </si>
  <si>
    <t xml:space="preserve">02247-1090444C-MAR-0900</t>
  </si>
  <si>
    <t xml:space="preserve">05636-1160084A-MAR-0900</t>
  </si>
  <si>
    <t xml:space="preserve">06863-1090813B-MAR-0900</t>
  </si>
  <si>
    <t xml:space="preserve">1090813B</t>
  </si>
  <si>
    <t xml:space="preserve">SISTEMAS DE PUESTAS A TIERRA</t>
  </si>
  <si>
    <t xml:space="preserve">06863</t>
  </si>
  <si>
    <t xml:space="preserve">ORDONEZ CORREA JESUS HERNANDO</t>
  </si>
  <si>
    <t xml:space="preserve">06667-1160052A-MAR-0900</t>
  </si>
  <si>
    <t xml:space="preserve">1160052A</t>
  </si>
  <si>
    <t xml:space="preserve">05247-1090413B-MAR-1000</t>
  </si>
  <si>
    <t xml:space="preserve">03161-1160080A-MAR-1000</t>
  </si>
  <si>
    <t xml:space="preserve">05395-1160012A-MAR-1000</t>
  </si>
  <si>
    <t xml:space="preserve">1160012A</t>
  </si>
  <si>
    <t xml:space="preserve">INTRODUCCION A LA INGENIERIA ELECTRONICA</t>
  </si>
  <si>
    <t xml:space="preserve">05395</t>
  </si>
  <si>
    <t xml:space="preserve">SEPULVEDA MORA SERGIO BASILIO</t>
  </si>
  <si>
    <t xml:space="preserve">01504-1090818A-MAR-1000</t>
  </si>
  <si>
    <t xml:space="preserve">05233-1090145A-MAR-1000</t>
  </si>
  <si>
    <t xml:space="preserve">1090145A</t>
  </si>
  <si>
    <t xml:space="preserve">INTRODUCCION A LA VIDA UNIVERSITARIA</t>
  </si>
  <si>
    <t xml:space="preserve">AG304</t>
  </si>
  <si>
    <t xml:space="preserve">06863-1090612A-MAR-1000</t>
  </si>
  <si>
    <t xml:space="preserve">1090612A</t>
  </si>
  <si>
    <t xml:space="preserve">SENSORES Y ACONDICIONADORES DE SEÑAL</t>
  </si>
  <si>
    <t xml:space="preserve">04184-1160093B-MAR-1000</t>
  </si>
  <si>
    <t xml:space="preserve">1160093B</t>
  </si>
  <si>
    <t xml:space="preserve">05041-1090914B-MAR-1000</t>
  </si>
  <si>
    <t xml:space="preserve">06667-1161123A-MAR-1000</t>
  </si>
  <si>
    <t xml:space="preserve">1161123A</t>
  </si>
  <si>
    <t xml:space="preserve">CIENCIA DE DATOS E INTRODUCCION AL APRENDI</t>
  </si>
  <si>
    <t xml:space="preserve">07428-1161125B-MAR-1000</t>
  </si>
  <si>
    <t xml:space="preserve">1161125B</t>
  </si>
  <si>
    <t xml:space="preserve">INGENIERIA DE MANTENIMIENTO BIOMEDICO</t>
  </si>
  <si>
    <t xml:space="preserve">06921-1160054B-MAR-1000</t>
  </si>
  <si>
    <t xml:space="preserve">1160054B</t>
  </si>
  <si>
    <t xml:space="preserve">06274-1160070B-MAR-1000</t>
  </si>
  <si>
    <t xml:space="preserve">1160070B</t>
  </si>
  <si>
    <t xml:space="preserve">05177-1160043A-MAR-1000</t>
  </si>
  <si>
    <t xml:space="preserve">SG401</t>
  </si>
  <si>
    <t xml:space="preserve">00076-1090444A-MAR-1100</t>
  </si>
  <si>
    <t xml:space="preserve">06374-1090614A-MAR-1400</t>
  </si>
  <si>
    <t xml:space="preserve">05508-1160082A-MAR-1400</t>
  </si>
  <si>
    <t xml:space="preserve">07091-1160091A-MAR-1400</t>
  </si>
  <si>
    <t xml:space="preserve">06863-1090810A-MAR-1400</t>
  </si>
  <si>
    <t xml:space="preserve">1090810A</t>
  </si>
  <si>
    <t xml:space="preserve">ACCIONAMIENTOS ELECTRICOS</t>
  </si>
  <si>
    <t xml:space="preserve">03565-1090441E-MAR-1400</t>
  </si>
  <si>
    <t xml:space="preserve">1090441E</t>
  </si>
  <si>
    <t xml:space="preserve">06285-1160070D-MAR-1400</t>
  </si>
  <si>
    <t xml:space="preserve">1160070D</t>
  </si>
  <si>
    <t xml:space="preserve">07784-1160071A-MAR-1400</t>
  </si>
  <si>
    <t xml:space="preserve">07428-1155503C-MAR-1400</t>
  </si>
  <si>
    <t xml:space="preserve">1155503C</t>
  </si>
  <si>
    <t xml:space="preserve">06667-1160054D-MAR-1400</t>
  </si>
  <si>
    <t xml:space="preserve">1160054D</t>
  </si>
  <si>
    <t xml:space="preserve">06374-1090712C-MAR-1600</t>
  </si>
  <si>
    <t xml:space="preserve">1090712C</t>
  </si>
  <si>
    <t xml:space="preserve">03565-1090817A-MAR-1600</t>
  </si>
  <si>
    <t xml:space="preserve">01373-1160083A-MAR-1600</t>
  </si>
  <si>
    <t xml:space="preserve">1160083A</t>
  </si>
  <si>
    <t xml:space="preserve">05247-1090820B-MAR-1600</t>
  </si>
  <si>
    <t xml:space="preserve">1090820B</t>
  </si>
  <si>
    <t xml:space="preserve">07582-1090544A-MAR-1600</t>
  </si>
  <si>
    <t xml:space="preserve">07583-1160061D-MAR-1600</t>
  </si>
  <si>
    <t xml:space="preserve">1160061D</t>
  </si>
  <si>
    <t xml:space="preserve">05177-1160093C-MAR-1600</t>
  </si>
  <si>
    <t xml:space="preserve">1160093C</t>
  </si>
  <si>
    <t xml:space="preserve">07092-1161119A-MAR-1600</t>
  </si>
  <si>
    <t xml:space="preserve">1161119A</t>
  </si>
  <si>
    <t xml:space="preserve">COMUNICACIONES POR FIBRA OPTICA</t>
  </si>
  <si>
    <t xml:space="preserve">07092</t>
  </si>
  <si>
    <t xml:space="preserve">ALVAREZ GUERRERO JESUS</t>
  </si>
  <si>
    <t xml:space="preserve">SE204</t>
  </si>
  <si>
    <t xml:space="preserve">07418-1155503A-MAR-1600</t>
  </si>
  <si>
    <t xml:space="preserve">SE301</t>
  </si>
  <si>
    <t xml:space="preserve">07784-2150204A-MAR-1800</t>
  </si>
  <si>
    <t xml:space="preserve">2150204A</t>
  </si>
  <si>
    <t xml:space="preserve">ALGEBRA LINEAL</t>
  </si>
  <si>
    <t xml:space="preserve">07784-2150406A-MAR-1900</t>
  </si>
  <si>
    <t xml:space="preserve">21:00</t>
  </si>
  <si>
    <t xml:space="preserve">2150406A</t>
  </si>
  <si>
    <t xml:space="preserve">ESTADÍSTICA INFERENCIAL</t>
  </si>
  <si>
    <t xml:space="preserve">07784-2150203A-MAR-2100</t>
  </si>
  <si>
    <t xml:space="preserve">22:00</t>
  </si>
  <si>
    <t xml:space="preserve">05041-1090816A-MIE-0600</t>
  </si>
  <si>
    <t xml:space="preserve">Miércoles</t>
  </si>
  <si>
    <t xml:space="preserve">05247-1090623A-MIE-0600</t>
  </si>
  <si>
    <t xml:space="preserve">1090623A</t>
  </si>
  <si>
    <t xml:space="preserve">NANOTECNOLOGIA Y MATERIALES AVANZADOS</t>
  </si>
  <si>
    <t xml:space="preserve">06921-1160081A-MIE-0600</t>
  </si>
  <si>
    <t xml:space="preserve">07091-1161112A-MIE-0600</t>
  </si>
  <si>
    <t xml:space="preserve">1161112A</t>
  </si>
  <si>
    <t xml:space="preserve">07708-1160062A-MIE-0600</t>
  </si>
  <si>
    <t xml:space="preserve">07663-1160071A-MIE-0600</t>
  </si>
  <si>
    <t xml:space="preserve">AG302</t>
  </si>
  <si>
    <t xml:space="preserve">01243-1160092B-MIE-0600</t>
  </si>
  <si>
    <t xml:space="preserve">1160092B</t>
  </si>
  <si>
    <t xml:space="preserve">06274-1160061B-MIE-0600</t>
  </si>
  <si>
    <t xml:space="preserve">1160061B</t>
  </si>
  <si>
    <t xml:space="preserve">07428-1160054A-MIE-0600</t>
  </si>
  <si>
    <t xml:space="preserve">05177-1160043A-MIE-0700</t>
  </si>
  <si>
    <t xml:space="preserve">02247-1090444C-MIE-0700</t>
  </si>
  <si>
    <t xml:space="preserve">07708-1160062B-MIE-0700</t>
  </si>
  <si>
    <t xml:space="preserve">1160062B</t>
  </si>
  <si>
    <t xml:space="preserve">07708-1160090D-MIE-0800</t>
  </si>
  <si>
    <t xml:space="preserve">1160090D</t>
  </si>
  <si>
    <t xml:space="preserve">05497-1090715A-MIE-0800</t>
  </si>
  <si>
    <t xml:space="preserve">1090715A</t>
  </si>
  <si>
    <t xml:space="preserve">06274-1160061A-MIE-0800</t>
  </si>
  <si>
    <t xml:space="preserve">03350-1090511A-MIE-0800</t>
  </si>
  <si>
    <t xml:space="preserve">05041-1090914B-MIE-0800</t>
  </si>
  <si>
    <t xml:space="preserve">04528-1090811A-MIE-0800</t>
  </si>
  <si>
    <t xml:space="preserve">07091-1160091B-MIE-0800</t>
  </si>
  <si>
    <t xml:space="preserve">1160091B</t>
  </si>
  <si>
    <t xml:space="preserve">03161-1160071B-MIE-0800</t>
  </si>
  <si>
    <t xml:space="preserve">1160071B</t>
  </si>
  <si>
    <t xml:space="preserve">07428-1161125A-MIE-0800</t>
  </si>
  <si>
    <t xml:space="preserve">1161125A</t>
  </si>
  <si>
    <t xml:space="preserve">05247-1090413B-MIE-0900</t>
  </si>
  <si>
    <t xml:space="preserve">05233-1090917A-MIE-0900</t>
  </si>
  <si>
    <t xml:space="preserve">1090917A</t>
  </si>
  <si>
    <t xml:space="preserve">PROYECCIÓN SOCIAL</t>
  </si>
  <si>
    <t xml:space="preserve">05041-1090815B-MIE-1000</t>
  </si>
  <si>
    <t xml:space="preserve">1090815B</t>
  </si>
  <si>
    <t xml:space="preserve">COMUNICACIONES INDUSTRIALES</t>
  </si>
  <si>
    <t xml:space="preserve">05497-1090344A-MIE-1000</t>
  </si>
  <si>
    <t xml:space="preserve">06274-1160070A-MIE-1000</t>
  </si>
  <si>
    <t xml:space="preserve">04184-1160094A-MIE-1000</t>
  </si>
  <si>
    <t xml:space="preserve">1160094A</t>
  </si>
  <si>
    <t xml:space="preserve">TEMATICA DE GRADO</t>
  </si>
  <si>
    <t xml:space="preserve">03350-1090445A-MIE-1000</t>
  </si>
  <si>
    <t xml:space="preserve">1090445A</t>
  </si>
  <si>
    <t xml:space="preserve">06863-1090715B-MIE-1000</t>
  </si>
  <si>
    <t xml:space="preserve">1090715B</t>
  </si>
  <si>
    <t xml:space="preserve">01373-1160083A-MIE-1000</t>
  </si>
  <si>
    <t xml:space="preserve">07582-1090614D-MIE-1000</t>
  </si>
  <si>
    <t xml:space="preserve">06921-1160081A-MIE-1000</t>
  </si>
  <si>
    <t xml:space="preserve">05395-1161111A-MIE-1000</t>
  </si>
  <si>
    <t xml:space="preserve">1161111A</t>
  </si>
  <si>
    <t xml:space="preserve">06667-1161123B-MIE-1000</t>
  </si>
  <si>
    <t xml:space="preserve">1161123B</t>
  </si>
  <si>
    <t xml:space="preserve">SF401</t>
  </si>
  <si>
    <t xml:space="preserve">05497-1090713B-MIE-1400</t>
  </si>
  <si>
    <t xml:space="preserve">06285-1160042C-MIE-1400</t>
  </si>
  <si>
    <t xml:space="preserve">06667-1160052A-MIE-1400</t>
  </si>
  <si>
    <t xml:space="preserve">06290-1160082C-MIE-1400</t>
  </si>
  <si>
    <t xml:space="preserve">03565-1090817B-MIE-1400</t>
  </si>
  <si>
    <t xml:space="preserve">1090817B</t>
  </si>
  <si>
    <t xml:space="preserve">07707-1161110A-MIE-1400</t>
  </si>
  <si>
    <t xml:space="preserve">1161110A</t>
  </si>
  <si>
    <t xml:space="preserve">MICROELECTRONICA</t>
  </si>
  <si>
    <t xml:space="preserve">06863-1090612B-MIE-1400</t>
  </si>
  <si>
    <t xml:space="preserve">1090612B</t>
  </si>
  <si>
    <t xml:space="preserve">07583-1160061D-MIE-1400</t>
  </si>
  <si>
    <t xml:space="preserve">06921-1155503C-MIE-1400</t>
  </si>
  <si>
    <t xml:space="preserve">SE202</t>
  </si>
  <si>
    <t xml:space="preserve">06374-1090712B-MIE-1600</t>
  </si>
  <si>
    <t xml:space="preserve">1090712B</t>
  </si>
  <si>
    <t xml:space="preserve">07707-1161110A-MIE-1600</t>
  </si>
  <si>
    <t xml:space="preserve">06863-1090612C-MIE-1600</t>
  </si>
  <si>
    <t xml:space="preserve">1090612C</t>
  </si>
  <si>
    <t xml:space="preserve">07784-1160071D-MIE-1600</t>
  </si>
  <si>
    <t xml:space="preserve">1160071D</t>
  </si>
  <si>
    <t xml:space="preserve">07418-1155503B-MIE-1600</t>
  </si>
  <si>
    <t xml:space="preserve">1155503B</t>
  </si>
  <si>
    <t xml:space="preserve">06290-1160070C-MIE-1600</t>
  </si>
  <si>
    <t xml:space="preserve">07583-1610946A-MIE-1700</t>
  </si>
  <si>
    <t xml:space="preserve">20:00</t>
  </si>
  <si>
    <t xml:space="preserve">1610946A</t>
  </si>
  <si>
    <t xml:space="preserve">CONTROL DE PROCESOS</t>
  </si>
  <si>
    <t xml:space="preserve">SP208</t>
  </si>
  <si>
    <t xml:space="preserve">05041-1090816B-JUE-0600</t>
  </si>
  <si>
    <t xml:space="preserve">Jueves</t>
  </si>
  <si>
    <t xml:space="preserve">1090816B</t>
  </si>
  <si>
    <t xml:space="preserve">05497-1090344C-JUE-0600</t>
  </si>
  <si>
    <t xml:space="preserve">1090344C</t>
  </si>
  <si>
    <t xml:space="preserve">07418-1160071D-JUE-0600</t>
  </si>
  <si>
    <t xml:space="preserve">04528-1091012A-JUE-0600</t>
  </si>
  <si>
    <t xml:space="preserve">05233-1090143A-JUE-0600</t>
  </si>
  <si>
    <t xml:space="preserve">1090143A</t>
  </si>
  <si>
    <t xml:space="preserve">INTRODUCCION A LA INGENIERIA ELECTROMECANI</t>
  </si>
  <si>
    <t xml:space="preserve">04068-1090714A-JUE-0600</t>
  </si>
  <si>
    <t xml:space="preserve">1090714A</t>
  </si>
  <si>
    <t xml:space="preserve">01243-1160092A-JUE-0600</t>
  </si>
  <si>
    <t xml:space="preserve">1160092A</t>
  </si>
  <si>
    <t xml:space="preserve">07582-1090544B-JUE-0600</t>
  </si>
  <si>
    <t xml:space="preserve">1090544B</t>
  </si>
  <si>
    <t xml:space="preserve">05508-1160082B-JUE-0600</t>
  </si>
  <si>
    <t xml:space="preserve">1160082B</t>
  </si>
  <si>
    <t xml:space="preserve">07663-1090441A-JUE-0600</t>
  </si>
  <si>
    <t xml:space="preserve">1090441A</t>
  </si>
  <si>
    <t xml:space="preserve">07784-1160053A-JUE-0600</t>
  </si>
  <si>
    <t xml:space="preserve">00076-1090444A-JUE-0700</t>
  </si>
  <si>
    <t xml:space="preserve">05041-1090815A-JUE-0800</t>
  </si>
  <si>
    <t xml:space="preserve">1090815A</t>
  </si>
  <si>
    <t xml:space="preserve">03350-1090511A-JUE-0800</t>
  </si>
  <si>
    <t xml:space="preserve">07428-1161106A-JUE-0800</t>
  </si>
  <si>
    <t xml:space="preserve">1161106A</t>
  </si>
  <si>
    <t xml:space="preserve">PRACTICA SOCIAL</t>
  </si>
  <si>
    <t xml:space="preserve">05395-1161111A-JUE-0800</t>
  </si>
  <si>
    <t xml:space="preserve">05233-1090344A-JUE-0800</t>
  </si>
  <si>
    <t xml:space="preserve">07092-1160062D-JUE-0800</t>
  </si>
  <si>
    <t xml:space="preserve">1160062D</t>
  </si>
  <si>
    <t xml:space="preserve">05508-1161113A-JUE-0800</t>
  </si>
  <si>
    <t xml:space="preserve">1161113A</t>
  </si>
  <si>
    <t xml:space="preserve">PROCESAMIENTO DIGITAL DE SEÑALES</t>
  </si>
  <si>
    <t xml:space="preserve">AG205</t>
  </si>
  <si>
    <t xml:space="preserve">01504-1090818B-JUE-0800</t>
  </si>
  <si>
    <t xml:space="preserve">1090818B</t>
  </si>
  <si>
    <t xml:space="preserve">06667-1160053B-JUE-0800</t>
  </si>
  <si>
    <t xml:space="preserve">1160053B</t>
  </si>
  <si>
    <t xml:space="preserve">00076-1090444A-JUE-0900</t>
  </si>
  <si>
    <t xml:space="preserve">03161-1160080A-JUE-0900</t>
  </si>
  <si>
    <t xml:space="preserve">05497-1090715A-JUE-0900</t>
  </si>
  <si>
    <t xml:space="preserve">05177-1160062D-JUE-0900</t>
  </si>
  <si>
    <t xml:space="preserve">07784-1160090A-JUE-1000</t>
  </si>
  <si>
    <t xml:space="preserve">1160090A</t>
  </si>
  <si>
    <t xml:space="preserve">05041-1090914B-JUE-1000</t>
  </si>
  <si>
    <t xml:space="preserve">04541-1160072A-JUE-1000</t>
  </si>
  <si>
    <t xml:space="preserve">06667-1160052A-JUE-1000</t>
  </si>
  <si>
    <t xml:space="preserve">05233-1922402B-JUE-1000</t>
  </si>
  <si>
    <t xml:space="preserve">1922402B</t>
  </si>
  <si>
    <t xml:space="preserve">01504-1090715A-JUE-1000</t>
  </si>
  <si>
    <t xml:space="preserve">03161-1160080B-JUE-1000</t>
  </si>
  <si>
    <t xml:space="preserve">1160080B</t>
  </si>
  <si>
    <t xml:space="preserve">07092-1161119A-JUE-1000</t>
  </si>
  <si>
    <t xml:space="preserve">07091-1160091A-JUE-1000</t>
  </si>
  <si>
    <t xml:space="preserve">05636-1160084B-JUE-1000</t>
  </si>
  <si>
    <t xml:space="preserve">1160084B</t>
  </si>
  <si>
    <t xml:space="preserve">05247-1090623A-JUE-1000</t>
  </si>
  <si>
    <t xml:space="preserve">02247-1090444C-JUE-1100</t>
  </si>
  <si>
    <t xml:space="preserve">07418-1160090C-JUE-1400</t>
  </si>
  <si>
    <t xml:space="preserve">1160090C</t>
  </si>
  <si>
    <t xml:space="preserve">06863-1090813B-JUE-1400</t>
  </si>
  <si>
    <t xml:space="preserve">07583-1160042A-JUE-1400</t>
  </si>
  <si>
    <t xml:space="preserve">1160042A</t>
  </si>
  <si>
    <t xml:space="preserve">06667-1161123A-JUE-1400</t>
  </si>
  <si>
    <t xml:space="preserve">05177-1160051A-JUE-1400</t>
  </si>
  <si>
    <t xml:space="preserve">1160051A</t>
  </si>
  <si>
    <t xml:space="preserve">SEMICONDUCTORES</t>
  </si>
  <si>
    <t xml:space="preserve">AG203</t>
  </si>
  <si>
    <t xml:space="preserve">03565-1090441E-JUE-1400</t>
  </si>
  <si>
    <t xml:space="preserve">06374-1090614C-JUE-1400</t>
  </si>
  <si>
    <t xml:space="preserve">1090614C</t>
  </si>
  <si>
    <t xml:space="preserve">07091-1161112A-JUE-1400</t>
  </si>
  <si>
    <t xml:space="preserve">06285-1160061E-JUE-1400</t>
  </si>
  <si>
    <t xml:space="preserve">1160061E</t>
  </si>
  <si>
    <t xml:space="preserve">06290-1160070C-JUE-1500</t>
  </si>
  <si>
    <t xml:space="preserve">AG303</t>
  </si>
  <si>
    <t xml:space="preserve">05636-1161108A-JUE-1600</t>
  </si>
  <si>
    <t xml:space="preserve">03350-1090445A-JUE-1600</t>
  </si>
  <si>
    <t xml:space="preserve">07784-1160052D-JUE-1600</t>
  </si>
  <si>
    <t xml:space="preserve">1160052D</t>
  </si>
  <si>
    <t xml:space="preserve">06290-1160072D-JUE-1600</t>
  </si>
  <si>
    <t xml:space="preserve">03565-1090540A-JUE-1600</t>
  </si>
  <si>
    <t xml:space="preserve">07428-1161125A-JUE-1600</t>
  </si>
  <si>
    <t xml:space="preserve">06374-1090818C-JUE-1600</t>
  </si>
  <si>
    <t xml:space="preserve">1090818C</t>
  </si>
  <si>
    <t xml:space="preserve">06285-1160042C-JUE-1600</t>
  </si>
  <si>
    <t xml:space="preserve">07583-1160042B-JUE-1700</t>
  </si>
  <si>
    <t xml:space="preserve">1160042B</t>
  </si>
  <si>
    <t xml:space="preserve">06285-1160042D-JUE-1700</t>
  </si>
  <si>
    <t xml:space="preserve">1160042D</t>
  </si>
  <si>
    <t xml:space="preserve">07707-2150405A-JUE-1800</t>
  </si>
  <si>
    <t xml:space="preserve">2150405A</t>
  </si>
  <si>
    <t xml:space="preserve">DEEP LEARNING</t>
  </si>
  <si>
    <t xml:space="preserve">07707-2150401A-JUE-1900</t>
  </si>
  <si>
    <t xml:space="preserve">2150401A</t>
  </si>
  <si>
    <t xml:space="preserve">VISUALIZACIÓN DE DATOS</t>
  </si>
  <si>
    <t xml:space="preserve">05497-1090344C-VIE-0600</t>
  </si>
  <si>
    <t xml:space="preserve">Viernes</t>
  </si>
  <si>
    <t xml:space="preserve">01243-1160092A-VIE-0600</t>
  </si>
  <si>
    <t xml:space="preserve">05233-1091007A-VIE-0600</t>
  </si>
  <si>
    <t xml:space="preserve">07664-1090814A-VIE-0600</t>
  </si>
  <si>
    <t xml:space="preserve">05041-1090815A-VIE-0600</t>
  </si>
  <si>
    <t xml:space="preserve">06921-1161124B-VIE-0600</t>
  </si>
  <si>
    <t xml:space="preserve">1161124B</t>
  </si>
  <si>
    <t xml:space="preserve">07663-1090441B-VIE-0600</t>
  </si>
  <si>
    <t xml:space="preserve">1090441B</t>
  </si>
  <si>
    <t xml:space="preserve">04068-1090714A-VIE-0600</t>
  </si>
  <si>
    <t xml:space="preserve">07784-1620212D-VIE-0600</t>
  </si>
  <si>
    <t xml:space="preserve">1620212D</t>
  </si>
  <si>
    <t xml:space="preserve">ELECTRICIDAD Y MAGNETISMO</t>
  </si>
  <si>
    <t xml:space="preserve">SG207</t>
  </si>
  <si>
    <t xml:space="preserve">07418-1160071D-VIE-0700</t>
  </si>
  <si>
    <t xml:space="preserve">07708-1160062A-VIE-0700</t>
  </si>
  <si>
    <t xml:space="preserve">05041-1090816C-VIE-0800</t>
  </si>
  <si>
    <t xml:space="preserve">1090816C</t>
  </si>
  <si>
    <t xml:space="preserve">03350-1090511C-VIE-0800</t>
  </si>
  <si>
    <t xml:space="preserve">1090511C</t>
  </si>
  <si>
    <t xml:space="preserve">05233-1090244A-VIE-0800</t>
  </si>
  <si>
    <t xml:space="preserve">1090244A</t>
  </si>
  <si>
    <t xml:space="preserve">05177-1160084C-VIE-0800</t>
  </si>
  <si>
    <t xml:space="preserve">1160084C</t>
  </si>
  <si>
    <t xml:space="preserve">04068-1090541D-VIE-0800</t>
  </si>
  <si>
    <t xml:space="preserve">1090541D</t>
  </si>
  <si>
    <t xml:space="preserve">00076-1090444B-VIE-0900</t>
  </si>
  <si>
    <t xml:space="preserve">1090444B</t>
  </si>
  <si>
    <t xml:space="preserve">05041-1090713A-VIE-1000</t>
  </si>
  <si>
    <t xml:space="preserve">1090713A</t>
  </si>
  <si>
    <t xml:space="preserve">05247-1090820A-VIE-1000</t>
  </si>
  <si>
    <t xml:space="preserve">07708-1160062C-VIE-1000</t>
  </si>
  <si>
    <t xml:space="preserve">1160062C</t>
  </si>
  <si>
    <t xml:space="preserve">00076-1090444A-VIE-1000</t>
  </si>
  <si>
    <t xml:space="preserve">05233-1090243A-VIE-1000</t>
  </si>
  <si>
    <t xml:space="preserve">05177-1160051A-VIE-1000</t>
  </si>
  <si>
    <t xml:space="preserve">AG406</t>
  </si>
  <si>
    <t xml:space="preserve">07092-1160093D-VIE-1000</t>
  </si>
  <si>
    <t xml:space="preserve">1160093D</t>
  </si>
  <si>
    <t xml:space="preserve">07091-1160091B-VIE-1000</t>
  </si>
  <si>
    <t xml:space="preserve">03161-1160071C-VIE-1000</t>
  </si>
  <si>
    <t xml:space="preserve">1160071C</t>
  </si>
  <si>
    <t xml:space="preserve">07784-1160012B-VIE-1000</t>
  </si>
  <si>
    <t xml:space="preserve">1160012B</t>
  </si>
  <si>
    <t xml:space="preserve">SD401</t>
  </si>
  <si>
    <t xml:space="preserve">05247-1090413B-VIE-1100</t>
  </si>
  <si>
    <t xml:space="preserve">00076-1090344C-VIE-1100</t>
  </si>
  <si>
    <t xml:space="preserve">04528-1090913D-VIE-1400</t>
  </si>
  <si>
    <t xml:space="preserve">1090913D</t>
  </si>
  <si>
    <t xml:space="preserve">06374-1090712A-VIE-1400</t>
  </si>
  <si>
    <t xml:space="preserve">06921-1161124A-VIE-1400</t>
  </si>
  <si>
    <t xml:space="preserve">07092-1160062D-VIE-1400</t>
  </si>
  <si>
    <t xml:space="preserve">07582-1090544C-VIE-1400</t>
  </si>
  <si>
    <t xml:space="preserve">1090544C</t>
  </si>
  <si>
    <t xml:space="preserve">06863-1090612A-VIE-1400</t>
  </si>
  <si>
    <t xml:space="preserve">06285-1160082D-VIE-1400</t>
  </si>
  <si>
    <t xml:space="preserve">1160082D</t>
  </si>
  <si>
    <t xml:space="preserve">06290-1160072E-VIE-1400</t>
  </si>
  <si>
    <t xml:space="preserve">1160072E</t>
  </si>
  <si>
    <t xml:space="preserve">07707-1160091D-VIE-1400</t>
  </si>
  <si>
    <t xml:space="preserve">06667-1160052D-VIE-1400</t>
  </si>
  <si>
    <t xml:space="preserve">07583-1160091C-VIE-1500</t>
  </si>
  <si>
    <t xml:space="preserve">06667-1160052E-VIE-1500</t>
  </si>
  <si>
    <t xml:space="preserve">1160052E</t>
  </si>
  <si>
    <t xml:space="preserve">04528-1090913A-VIE-1600</t>
  </si>
  <si>
    <t xml:space="preserve">03350-1090445B-VIE-1600</t>
  </si>
  <si>
    <t xml:space="preserve">07784-1160052D-VIE-1600</t>
  </si>
  <si>
    <t xml:space="preserve">07418-1160090C-VIE-1600</t>
  </si>
  <si>
    <t xml:space="preserve">06863-1090810A-VIE-1600</t>
  </si>
  <si>
    <t xml:space="preserve">07583-1160042A-VIE-1600</t>
  </si>
  <si>
    <t xml:space="preserve">07664-1090814B-VIE-1600</t>
  </si>
  <si>
    <t xml:space="preserve">1090814B</t>
  </si>
  <si>
    <t xml:space="preserve">LE101</t>
  </si>
  <si>
    <t xml:space="preserve">03565-1090817A-VIE-1600</t>
  </si>
  <si>
    <t xml:space="preserve">06290-1160072B-VIE-1600</t>
  </si>
  <si>
    <t xml:space="preserve">1160072B</t>
  </si>
  <si>
    <t xml:space="preserve">05508-1161113A-VIE-1600</t>
  </si>
  <si>
    <t xml:space="preserve">07428-1161106A-SAB-0600</t>
  </si>
  <si>
    <t xml:space="preserve">Sábado</t>
  </si>
  <si>
    <t xml:space="preserve">05233-2421305A-SAB-0730</t>
  </si>
  <si>
    <t xml:space="preserve">07:30</t>
  </si>
  <si>
    <t xml:space="preserve">2421305A</t>
  </si>
  <si>
    <t xml:space="preserve">AO201</t>
  </si>
  <si>
    <t xml:space="preserve">07428-1161106B-SAB-0800</t>
  </si>
  <si>
    <t xml:space="preserve">1161106B</t>
  </si>
  <si>
    <t xml:space="preserve">Categoría</t>
  </si>
  <si>
    <t xml:space="preserve">Correo</t>
  </si>
  <si>
    <t xml:space="preserve">Activo (SI/NO)</t>
  </si>
  <si>
    <t xml:space="preserve">Clave del enlace (menú 2)</t>
  </si>
  <si>
    <t xml:space="preserve">Celular vinculado (automático)</t>
  </si>
  <si>
    <t xml:space="preserve">Enlace personal (menú 2) – PRIVADO</t>
  </si>
  <si>
    <t xml:space="preserve">Cátedra</t>
  </si>
  <si>
    <t xml:space="preserve">Tiempo completo</t>
  </si>
  <si>
    <t xml:space="preserve">Ocasional TC</t>
  </si>
  <si>
    <t xml:space="preserve">Exige ubicación y red (SI/NO)</t>
  </si>
  <si>
    <t xml:space="preserve">Latitud (opcional)</t>
  </si>
  <si>
    <t xml:space="preserve">Longitud (opcional)</t>
  </si>
  <si>
    <t xml:space="preserve">Radio (m, opcional)</t>
  </si>
  <si>
    <t xml:space="preserve">Lat/Lng/Radio opcionales: para exigir un bloque concreto (ej. bloque LG). Vacío = se usa el campus de Config.</t>
  </si>
  <si>
    <t xml:space="preserve">Rango de red</t>
  </si>
  <si>
    <t xml:space="preserve">Organización / proveedor</t>
  </si>
  <si>
    <t xml:space="preserve">Docentes distintos</t>
  </si>
  <si>
    <t xml:space="preserve">Registros</t>
  </si>
  <si>
    <t xml:space="preserve">Última vez</t>
  </si>
  <si>
    <t xml:space="preserve">Aprobada (SI/NO/PENDIENTE)</t>
  </si>
  <si>
    <t xml:space="preserve">Se llena sola cada noche con las redes desde donde registran los docentes (GPS dentro del campus).</t>
  </si>
  <si>
    <t xml:space="preserve">Escribe SI solo en la red de la universidad. NO en operadores móviles (Claro, Movistar, Tigo, WOM) ni VPN.</t>
  </si>
  <si>
    <t xml:space="preserve">También puedes agregar a mano los rangos que te dé Sistemas (ej. 190.25.10.0/24) con Aprobada = SI.</t>
  </si>
  <si>
    <t xml:space="preserve">Fecha</t>
  </si>
  <si>
    <t xml:space="preserve">Descripción</t>
  </si>
  <si>
    <t xml:space="preserve">Día de Todos los Santos (trasladado)</t>
  </si>
  <si>
    <t xml:space="preserve">Independencia de Cartagena (trasladado)</t>
  </si>
  <si>
    <t xml:space="preserve">Inmaculada Concepción</t>
  </si>
  <si>
    <t xml:space="preserve">Navidad</t>
  </si>
  <si>
    <t xml:space="preserve">Agrega recesos o días sin clase. Verifica con el calendario académico oficial.</t>
  </si>
  <si>
    <t xml:space="preserve">Hora</t>
  </si>
  <si>
    <t xml:space="preserve">Código</t>
  </si>
  <si>
    <t xml:space="preserve">Latitud</t>
  </si>
  <si>
    <t xml:space="preserve">Longitud</t>
  </si>
  <si>
    <t xml:space="preserve">Precisión (m)</t>
  </si>
  <si>
    <t xml:space="preserve">Lecturas GPS</t>
  </si>
  <si>
    <t xml:space="preserve">Resultado</t>
  </si>
  <si>
    <t xml:space="preserve">Motivo</t>
  </si>
  <si>
    <t xml:space="preserve">Alertas</t>
  </si>
  <si>
    <t xml:space="preserve">Distancia (m)</t>
  </si>
  <si>
    <t xml:space="preserve">Celular</t>
  </si>
  <si>
    <t xml:space="preserve">IP</t>
  </si>
  <si>
    <t xml:space="preserve">Red</t>
  </si>
  <si>
    <t xml:space="preserve">Navegador</t>
  </si>
  <si>
    <t xml:space="preserve">Hora registro</t>
  </si>
  <si>
    <t xml:space="preserve">Minutos de retraso</t>
  </si>
  <si>
    <t xml:space="preserve">Estado</t>
  </si>
  <si>
    <t xml:space="preserve">En red UFPS</t>
  </si>
  <si>
    <t xml:space="preserve">Foto</t>
  </si>
  <si>
    <t xml:space="preserve">Revisión coordinador</t>
  </si>
  <si>
    <t xml:space="preserve">Cumplimiento acumulado por docente</t>
  </si>
  <si>
    <t xml:space="preserve">Se calcula desde Asistencia. Cumplimiento = (A tiempo + Tarde − revisadas No válidas) / clases controladas.</t>
  </si>
  <si>
    <t xml:space="preserve">Clases controladas</t>
  </si>
  <si>
    <t xml:space="preserve">A tiempo</t>
  </si>
  <si>
    <t xml:space="preserve">Tarde</t>
  </si>
  <si>
    <t xml:space="preserve">No registró</t>
  </si>
  <si>
    <t xml:space="preserve">Fuera de red UFPS</t>
  </si>
  <si>
    <t xml:space="preserve">Cumplimiento</t>
  </si>
  <si>
    <t xml:space="preserve">Retraso promedio (min)</t>
  </si>
  <si>
    <t xml:space="preserve">Con alerta</t>
  </si>
  <si>
    <t xml:space="preserve">Revisadas no válidas</t>
  </si>
  <si>
    <t xml:space="preserve">TOTAL</t>
  </si>
</sst>
</file>

<file path=xl/styles.xml><?xml version="1.0" encoding="utf-8"?>
<styleSheet xmlns="http://schemas.openxmlformats.org/spreadsheetml/2006/main">
  <numFmts count="7">
    <numFmt numFmtId="164" formatCode="General"/>
    <numFmt numFmtId="165" formatCode="0.000000"/>
    <numFmt numFmtId="166" formatCode="yyyy\-mm\-dd"/>
    <numFmt numFmtId="167" formatCode="@"/>
    <numFmt numFmtId="168" formatCode="0%"/>
    <numFmt numFmtId="169" formatCode="0.0"/>
    <numFmt numFmtId="170"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E2031A"/>
      <name val="Arial"/>
      <family val="0"/>
      <charset val="1"/>
    </font>
    <font>
      <b val="true"/>
      <sz val="11"/>
      <color rgb="FFE2031A"/>
      <name val="Arial"/>
      <family val="0"/>
      <charset val="1"/>
    </font>
    <font>
      <b val="true"/>
      <sz val="10"/>
      <color rgb="FFE2031A"/>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9"/>
      <color rgb="FF5B5E63"/>
      <name val="Arial"/>
      <family val="0"/>
      <charset val="1"/>
    </font>
    <font>
      <b val="true"/>
      <sz val="14"/>
      <color rgb="FFE2031A"/>
      <name val="Arial"/>
      <family val="0"/>
      <charset val="1"/>
    </font>
  </fonts>
  <fills count="7">
    <fill>
      <patternFill patternType="none"/>
    </fill>
    <fill>
      <patternFill patternType="gray125"/>
    </fill>
    <fill>
      <patternFill patternType="solid">
        <fgColor rgb="FF111111"/>
        <bgColor rgb="FF000000"/>
      </patternFill>
    </fill>
    <fill>
      <patternFill patternType="solid">
        <fgColor rgb="FFFF9900"/>
        <bgColor rgb="FFFFCC00"/>
      </patternFill>
    </fill>
    <fill>
      <patternFill patternType="solid">
        <fgColor rgb="FF66CC33"/>
        <bgColor rgb="FF339966"/>
      </patternFill>
    </fill>
    <fill>
      <patternFill patternType="solid">
        <fgColor rgb="FFE2031A"/>
        <bgColor rgb="FFB80215"/>
      </patternFill>
    </fill>
    <fill>
      <patternFill patternType="solid">
        <fgColor rgb="FFFFF4E0"/>
        <bgColor rgb="FFFDECE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xf numFmtId="166" fontId="10" fillId="6"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2031A"/>
          <bgColor rgb="FF000000"/>
        </patternFill>
      </fill>
    </dxf>
    <dxf>
      <fill>
        <patternFill patternType="solid">
          <bgColor rgb="FF000000"/>
        </patternFill>
      </fill>
    </dxf>
    <dxf>
      <fill>
        <patternFill patternType="solid">
          <fgColor rgb="FFFFFFFF"/>
          <bgColor rgb="FF000000"/>
        </patternFill>
      </fill>
    </dxf>
    <dxf>
      <font>
        <name val="Arial"/>
        <charset val="1"/>
        <family val="0"/>
        <b val="1"/>
        <color rgb="FF2E7D17"/>
      </font>
      <fill>
        <patternFill>
          <bgColor rgb="FFE3F5D8"/>
        </patternFill>
      </fill>
    </dxf>
    <dxf>
      <font>
        <name val="Arial"/>
        <charset val="1"/>
        <family val="0"/>
        <b val="1"/>
        <color rgb="FF8A4B00"/>
      </font>
      <fill>
        <patternFill>
          <bgColor rgb="FFFFF4E0"/>
        </patternFill>
      </fill>
    </dxf>
    <dxf>
      <font>
        <name val="Arial"/>
        <charset val="1"/>
        <family val="0"/>
        <b val="1"/>
        <color rgb="FFB80215"/>
      </font>
      <fill>
        <patternFill>
          <bgColor rgb="FFFDECEE"/>
        </patternFill>
      </fill>
    </dxf>
  </dxfs>
  <colors>
    <indexedColors>
      <rgbColor rgb="FF000000"/>
      <rgbColor rgb="FFFFFFFF"/>
      <rgbColor rgb="FFE2031A"/>
      <rgbColor rgb="FF00FF00"/>
      <rgbColor rgb="FF0000FF"/>
      <rgbColor rgb="FFFFFF00"/>
      <rgbColor rgb="FFFF00FF"/>
      <rgbColor rgb="FF00FFFF"/>
      <rgbColor rgb="FFB80215"/>
      <rgbColor rgb="FF2E7D17"/>
      <rgbColor rgb="FF000080"/>
      <rgbColor rgb="FF808000"/>
      <rgbColor rgb="FF800080"/>
      <rgbColor rgb="FF008080"/>
      <rgbColor rgb="FFBFBFBF"/>
      <rgbColor rgb="FF808080"/>
      <rgbColor rgb="FF9999FF"/>
      <rgbColor rgb="FF993366"/>
      <rgbColor rgb="FFFFF4E0"/>
      <rgbColor rgb="FFFDEC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5D8"/>
      <rgbColor rgb="FFFFFF99"/>
      <rgbColor rgb="FF99CCFF"/>
      <rgbColor rgb="FFFF99CC"/>
      <rgbColor rgb="FFCC99FF"/>
      <rgbColor rgb="FFFFCC99"/>
      <rgbColor rgb="FF3366FF"/>
      <rgbColor rgb="FF33CCCC"/>
      <rgbColor rgb="FF66CC33"/>
      <rgbColor rgb="FFFFCC00"/>
      <rgbColor rgb="FFFF9900"/>
      <rgbColor rgb="FFFF6600"/>
      <rgbColor rgb="FF5B5E63"/>
      <rgbColor rgb="FF909398"/>
      <rgbColor rgb="FF003366"/>
      <rgbColor rgb="FF339966"/>
      <rgbColor rgb="FF111111"/>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685440</xdr:colOff>
      <xdr:row>0</xdr:row>
      <xdr:rowOff>685440</xdr:rowOff>
    </xdr:to>
    <xdr:pic>
      <xdr:nvPicPr>
        <xdr:cNvPr id="0" name="Image 1" descr="Picture"/>
        <xdr:cNvPicPr/>
      </xdr:nvPicPr>
      <xdr:blipFill>
        <a:blip r:embed="rId1"/>
        <a:stretch/>
      </xdr:blipFill>
      <xdr:spPr>
        <a:xfrm>
          <a:off x="0" y="0"/>
          <a:ext cx="685440" cy="685440"/>
        </a:xfrm>
        <a:prstGeom prst="rect">
          <a:avLst/>
        </a:prstGeom>
        <a:ln w="0">
          <a:noFill/>
        </a:ln>
      </xdr:spPr>
    </xdr:pic>
    <xdr:clientData/>
  </xdr:twoCellAnchor>
  <xdr:twoCellAnchor editAs="oneCell">
    <xdr:from>
      <xdr:col>2</xdr:col>
      <xdr:colOff>0</xdr:colOff>
      <xdr:row>0</xdr:row>
      <xdr:rowOff>0</xdr:rowOff>
    </xdr:from>
    <xdr:to>
      <xdr:col>2</xdr:col>
      <xdr:colOff>685440</xdr:colOff>
      <xdr:row>0</xdr:row>
      <xdr:rowOff>685440</xdr:rowOff>
    </xdr:to>
    <xdr:pic>
      <xdr:nvPicPr>
        <xdr:cNvPr id="1" name="Image 2" descr="Picture"/>
        <xdr:cNvPicPr/>
      </xdr:nvPicPr>
      <xdr:blipFill>
        <a:blip r:embed="rId2"/>
        <a:stretch/>
      </xdr:blipFill>
      <xdr:spPr>
        <a:xfrm>
          <a:off x="8458200" y="0"/>
          <a:ext cx="685440" cy="685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0</xdr:row>
      <xdr:rowOff>0</xdr:rowOff>
    </xdr:from>
    <xdr:to>
      <xdr:col>11</xdr:col>
      <xdr:colOff>456840</xdr:colOff>
      <xdr:row>0</xdr:row>
      <xdr:rowOff>456840</xdr:rowOff>
    </xdr:to>
    <xdr:pic>
      <xdr:nvPicPr>
        <xdr:cNvPr id="2" name="Image 1" descr="Picture"/>
        <xdr:cNvPicPr/>
      </xdr:nvPicPr>
      <xdr:blipFill>
        <a:blip r:embed="rId1"/>
        <a:stretch/>
      </xdr:blipFill>
      <xdr:spPr>
        <a:xfrm>
          <a:off x="11207160" y="0"/>
          <a:ext cx="456840" cy="456840"/>
        </a:xfrm>
        <a:prstGeom prst="rect">
          <a:avLst/>
        </a:prstGeom>
        <a:ln w="0">
          <a:noFill/>
        </a:ln>
      </xdr:spPr>
    </xdr:pic>
    <xdr:clientData/>
  </xdr:twoCellAnchor>
  <xdr:twoCellAnchor editAs="oneCell">
    <xdr:from>
      <xdr:col>12</xdr:col>
      <xdr:colOff>0</xdr:colOff>
      <xdr:row>0</xdr:row>
      <xdr:rowOff>0</xdr:rowOff>
    </xdr:from>
    <xdr:to>
      <xdr:col>12</xdr:col>
      <xdr:colOff>514080</xdr:colOff>
      <xdr:row>0</xdr:row>
      <xdr:rowOff>456840</xdr:rowOff>
    </xdr:to>
    <xdr:pic>
      <xdr:nvPicPr>
        <xdr:cNvPr id="3" name="Image 2" descr="Picture"/>
        <xdr:cNvPicPr/>
      </xdr:nvPicPr>
      <xdr:blipFill>
        <a:blip r:embed="rId2"/>
        <a:stretch/>
      </xdr:blipFill>
      <xdr:spPr>
        <a:xfrm>
          <a:off x="11841480" y="0"/>
          <a:ext cx="514080" cy="456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031A"/>
    <pageSetUpPr fitToPage="fals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8"/>
    <col collapsed="false" customWidth="true" hidden="false" outlineLevel="0" max="3" min="3" style="0" width="14"/>
  </cols>
  <sheetData>
    <row r="1" customFormat="false" ht="61.5" hidden="false" customHeight="true" outlineLevel="0" collapsed="false">
      <c r="B1" s="1" t="s">
        <v>0</v>
      </c>
    </row>
    <row r="2" customFormat="false" ht="3.75" hidden="false" customHeight="true" outlineLevel="0" collapsed="false">
      <c r="A2" s="2"/>
      <c r="B2" s="2"/>
      <c r="C2" s="2"/>
    </row>
    <row r="3" customFormat="false" ht="3.75" hidden="false" customHeight="true" outlineLevel="0" collapsed="false">
      <c r="A3" s="3"/>
      <c r="B3" s="3"/>
      <c r="C3" s="3"/>
    </row>
    <row r="4" customFormat="false" ht="3.75" hidden="false" customHeight="true" outlineLevel="0" collapsed="false">
      <c r="A4" s="4"/>
      <c r="B4" s="4"/>
      <c r="C4" s="4"/>
    </row>
    <row r="6" customFormat="false" ht="15" hidden="false" customHeight="false" outlineLevel="0" collapsed="false">
      <c r="B6" s="5" t="s">
        <v>1</v>
      </c>
    </row>
    <row r="7" customFormat="false" ht="30" hidden="false" customHeight="true" outlineLevel="0" collapsed="false">
      <c r="A7" s="6" t="s">
        <v>2</v>
      </c>
      <c r="B7" s="7" t="s">
        <v>3</v>
      </c>
    </row>
    <row r="8" customFormat="false" ht="30" hidden="false" customHeight="true" outlineLevel="0" collapsed="false">
      <c r="A8" s="6" t="s">
        <v>4</v>
      </c>
      <c r="B8" s="7" t="s">
        <v>5</v>
      </c>
    </row>
    <row r="9" customFormat="false" ht="15" hidden="false" customHeight="false" outlineLevel="0" collapsed="false">
      <c r="B9" s="5" t="s">
        <v>6</v>
      </c>
    </row>
    <row r="10" customFormat="false" ht="45" hidden="false" customHeight="true" outlineLevel="0" collapsed="false">
      <c r="A10" s="6" t="s">
        <v>7</v>
      </c>
      <c r="B10" s="7" t="s">
        <v>8</v>
      </c>
    </row>
    <row r="11" customFormat="false" ht="45" hidden="false" customHeight="true" outlineLevel="0" collapsed="false">
      <c r="A11" s="6" t="s">
        <v>7</v>
      </c>
      <c r="B11" s="7" t="s">
        <v>9</v>
      </c>
    </row>
    <row r="12" customFormat="false" ht="30" hidden="false" customHeight="true" outlineLevel="0" collapsed="false">
      <c r="A12" s="6" t="s">
        <v>7</v>
      </c>
      <c r="B12" s="7" t="s">
        <v>10</v>
      </c>
    </row>
    <row r="13" customFormat="false" ht="30" hidden="false" customHeight="true" outlineLevel="0" collapsed="false">
      <c r="A13" s="6" t="s">
        <v>7</v>
      </c>
      <c r="B13" s="7" t="s">
        <v>11</v>
      </c>
    </row>
    <row r="14" customFormat="false" ht="30" hidden="false" customHeight="true" outlineLevel="0" collapsed="false">
      <c r="A14" s="6" t="s">
        <v>7</v>
      </c>
      <c r="B14" s="7" t="s">
        <v>12</v>
      </c>
    </row>
    <row r="15" customFormat="false" ht="15" hidden="false" customHeight="true" outlineLevel="0" collapsed="false">
      <c r="A15" s="6" t="s">
        <v>7</v>
      </c>
      <c r="B15" s="7" t="s">
        <v>13</v>
      </c>
    </row>
    <row r="16" customFormat="false" ht="15" hidden="false" customHeight="false" outlineLevel="0" collapsed="false">
      <c r="B16" s="5" t="s">
        <v>14</v>
      </c>
    </row>
    <row r="17" customFormat="false" ht="30" hidden="false" customHeight="true" outlineLevel="0" collapsed="false">
      <c r="A17" s="6" t="s">
        <v>2</v>
      </c>
      <c r="B17" s="7" t="s">
        <v>15</v>
      </c>
    </row>
    <row r="18" customFormat="false" ht="30" hidden="false" customHeight="true" outlineLevel="0" collapsed="false">
      <c r="A18" s="6" t="s">
        <v>4</v>
      </c>
      <c r="B18" s="7" t="s">
        <v>16</v>
      </c>
    </row>
    <row r="19" customFormat="false" ht="30" hidden="false" customHeight="true" outlineLevel="0" collapsed="false">
      <c r="A19" s="6" t="s">
        <v>17</v>
      </c>
      <c r="B19" s="7" t="s">
        <v>18</v>
      </c>
    </row>
    <row r="20" customFormat="false" ht="30" hidden="false" customHeight="true" outlineLevel="0" collapsed="false">
      <c r="A20" s="6" t="s">
        <v>19</v>
      </c>
      <c r="B20" s="7" t="s">
        <v>20</v>
      </c>
    </row>
    <row r="21" customFormat="false" ht="30" hidden="false" customHeight="true" outlineLevel="0" collapsed="false">
      <c r="A21" s="6" t="s">
        <v>21</v>
      </c>
      <c r="B21" s="7" t="s">
        <v>22</v>
      </c>
    </row>
    <row r="22" customFormat="false" ht="15" hidden="false" customHeight="true" outlineLevel="0" collapsed="false">
      <c r="A22" s="6" t="s">
        <v>23</v>
      </c>
      <c r="B22" s="7" t="s">
        <v>24</v>
      </c>
    </row>
    <row r="23" customFormat="false" ht="30" hidden="false" customHeight="true" outlineLevel="0" collapsed="false">
      <c r="A23" s="6" t="s">
        <v>7</v>
      </c>
      <c r="B23" s="7" t="s">
        <v>25</v>
      </c>
    </row>
    <row r="24" customFormat="false" ht="15" hidden="false" customHeight="false" outlineLevel="0" collapsed="false">
      <c r="B24" s="5" t="s">
        <v>26</v>
      </c>
    </row>
    <row r="25" customFormat="false" ht="15" hidden="false" customHeight="true" outlineLevel="0" collapsed="false">
      <c r="A25" s="6" t="s">
        <v>7</v>
      </c>
      <c r="B25" s="7" t="s">
        <v>27</v>
      </c>
    </row>
    <row r="26" customFormat="false" ht="60" hidden="false" customHeight="true" outlineLevel="0" collapsed="false">
      <c r="A26" s="6" t="s">
        <v>7</v>
      </c>
      <c r="B26" s="7" t="s">
        <v>28</v>
      </c>
    </row>
    <row r="27" customFormat="false" ht="30" hidden="false" customHeight="true" outlineLevel="0" collapsed="false">
      <c r="A27" s="6" t="s">
        <v>7</v>
      </c>
      <c r="B27" s="7" t="s">
        <v>29</v>
      </c>
    </row>
    <row r="28" customFormat="false" ht="15" hidden="false" customHeight="false" outlineLevel="0" collapsed="false">
      <c r="B28" s="5" t="s">
        <v>30</v>
      </c>
    </row>
    <row r="29" customFormat="false" ht="45" hidden="false" customHeight="true" outlineLevel="0" collapsed="false">
      <c r="A29" s="6" t="s">
        <v>7</v>
      </c>
      <c r="B29" s="7" t="s">
        <v>31</v>
      </c>
    </row>
    <row r="30" customFormat="false" ht="30" hidden="false" customHeight="true" outlineLevel="0" collapsed="false">
      <c r="A30" s="6" t="s">
        <v>7</v>
      </c>
      <c r="B30" s="7" t="s">
        <v>32</v>
      </c>
    </row>
    <row r="31" customFormat="false" ht="30" hidden="false" customHeight="true" outlineLevel="0" collapsed="false">
      <c r="A31" s="6" t="s">
        <v>7</v>
      </c>
      <c r="B31" s="7" t="s">
        <v>33</v>
      </c>
    </row>
    <row r="32" customFormat="false" ht="30" hidden="false" customHeight="true" outlineLevel="0" collapsed="false">
      <c r="A32" s="6" t="s">
        <v>7</v>
      </c>
      <c r="B32" s="7" t="s">
        <v>34</v>
      </c>
    </row>
    <row r="33" customFormat="false" ht="15" hidden="false" customHeight="false" outlineLevel="0" collapsed="false">
      <c r="B33" s="5" t="s">
        <v>35</v>
      </c>
    </row>
    <row r="34" customFormat="false" ht="30" hidden="false" customHeight="true" outlineLevel="0" collapsed="false">
      <c r="A34" s="6" t="s">
        <v>7</v>
      </c>
      <c r="B34" s="7" t="s">
        <v>36</v>
      </c>
    </row>
    <row r="35" customFormat="false" ht="30" hidden="false" customHeight="true" outlineLevel="0" collapsed="false">
      <c r="A35" s="6" t="s">
        <v>7</v>
      </c>
      <c r="B35" s="7" t="s">
        <v>37</v>
      </c>
    </row>
    <row r="36" customFormat="false" ht="15" hidden="false" customHeight="true" outlineLevel="0" collapsed="false">
      <c r="A36" s="6" t="s">
        <v>7</v>
      </c>
      <c r="B36" s="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6"/>
    <col collapsed="false" customWidth="true" hidden="false" outlineLevel="0" max="3" min="3" style="0" width="84"/>
  </cols>
  <sheetData>
    <row r="1" customFormat="false" ht="30" hidden="false" customHeight="true" outlineLevel="0" collapsed="false">
      <c r="A1" s="8" t="s">
        <v>39</v>
      </c>
      <c r="B1" s="8" t="s">
        <v>40</v>
      </c>
      <c r="C1" s="8" t="s">
        <v>41</v>
      </c>
    </row>
    <row r="2" customFormat="false" ht="15" hidden="false" customHeight="false" outlineLevel="0" collapsed="false">
      <c r="A2" s="9" t="s">
        <v>42</v>
      </c>
      <c r="B2" s="10"/>
      <c r="C2" s="11" t="s">
        <v>43</v>
      </c>
    </row>
    <row r="3" customFormat="false" ht="15" hidden="false" customHeight="false" outlineLevel="0" collapsed="false">
      <c r="A3" s="9" t="s">
        <v>44</v>
      </c>
      <c r="B3" s="10"/>
      <c r="C3" s="11" t="s">
        <v>45</v>
      </c>
    </row>
    <row r="4" customFormat="false" ht="15" hidden="false" customHeight="false" outlineLevel="0" collapsed="false">
      <c r="A4" s="9" t="s">
        <v>46</v>
      </c>
      <c r="B4" s="10" t="s">
        <v>47</v>
      </c>
      <c r="C4" s="11" t="s">
        <v>48</v>
      </c>
    </row>
    <row r="5" customFormat="false" ht="15" hidden="false" customHeight="false" outlineLevel="0" collapsed="false">
      <c r="A5" s="9" t="s">
        <v>49</v>
      </c>
      <c r="B5" s="12" t="n">
        <v>7.898115</v>
      </c>
      <c r="C5" s="11" t="s">
        <v>50</v>
      </c>
    </row>
    <row r="6" customFormat="false" ht="15" hidden="false" customHeight="false" outlineLevel="0" collapsed="false">
      <c r="A6" s="9" t="s">
        <v>51</v>
      </c>
      <c r="B6" s="12" t="n">
        <v>-72.488703</v>
      </c>
      <c r="C6" s="11"/>
    </row>
    <row r="7" customFormat="false" ht="15" hidden="false" customHeight="false" outlineLevel="0" collapsed="false">
      <c r="A7" s="9" t="s">
        <v>52</v>
      </c>
      <c r="B7" s="10" t="n">
        <v>300</v>
      </c>
      <c r="C7" s="11" t="s">
        <v>53</v>
      </c>
    </row>
    <row r="8" customFormat="false" ht="15" hidden="false" customHeight="false" outlineLevel="0" collapsed="false">
      <c r="A8" s="9" t="s">
        <v>54</v>
      </c>
      <c r="B8" s="10" t="n">
        <v>100</v>
      </c>
      <c r="C8" s="11" t="s">
        <v>55</v>
      </c>
    </row>
    <row r="9" customFormat="false" ht="15" hidden="false" customHeight="false" outlineLevel="0" collapsed="false">
      <c r="A9" s="9" t="s">
        <v>56</v>
      </c>
      <c r="B9" s="10" t="n">
        <v>3</v>
      </c>
      <c r="C9" s="11"/>
    </row>
    <row r="10" customFormat="false" ht="15" hidden="false" customHeight="false" outlineLevel="0" collapsed="false">
      <c r="A10" s="9" t="s">
        <v>57</v>
      </c>
      <c r="B10" s="10" t="s">
        <v>58</v>
      </c>
      <c r="C10" s="11" t="s">
        <v>59</v>
      </c>
    </row>
    <row r="11" customFormat="false" ht="15" hidden="false" customHeight="false" outlineLevel="0" collapsed="false">
      <c r="A11" s="9" t="s">
        <v>60</v>
      </c>
      <c r="B11" s="10" t="s">
        <v>61</v>
      </c>
      <c r="C11" s="11" t="s">
        <v>62</v>
      </c>
    </row>
    <row r="12" customFormat="false" ht="15" hidden="false" customHeight="false" outlineLevel="0" collapsed="false">
      <c r="A12" s="9" t="s">
        <v>63</v>
      </c>
      <c r="B12" s="10" t="s">
        <v>58</v>
      </c>
      <c r="C12" s="11" t="s">
        <v>64</v>
      </c>
    </row>
    <row r="13" customFormat="false" ht="15" hidden="false" customHeight="false" outlineLevel="0" collapsed="false">
      <c r="A13" s="9" t="s">
        <v>65</v>
      </c>
      <c r="B13" s="10" t="n">
        <v>15</v>
      </c>
      <c r="C13" s="11"/>
    </row>
    <row r="14" customFormat="false" ht="15" hidden="false" customHeight="false" outlineLevel="0" collapsed="false">
      <c r="A14" s="9" t="s">
        <v>66</v>
      </c>
      <c r="B14" s="10" t="n">
        <v>10</v>
      </c>
      <c r="C14" s="11" t="s">
        <v>67</v>
      </c>
    </row>
    <row r="15" customFormat="false" ht="15" hidden="false" customHeight="false" outlineLevel="0" collapsed="false">
      <c r="A15" s="9" t="s">
        <v>68</v>
      </c>
      <c r="B15" s="10" t="s">
        <v>58</v>
      </c>
      <c r="C15" s="11" t="s">
        <v>69</v>
      </c>
    </row>
    <row r="16" customFormat="false" ht="15" hidden="false" customHeight="false" outlineLevel="0" collapsed="false">
      <c r="A16" s="9" t="s">
        <v>70</v>
      </c>
      <c r="B16" s="13" t="n">
        <v>46314</v>
      </c>
      <c r="C16" s="11" t="s">
        <v>71</v>
      </c>
    </row>
    <row r="17" customFormat="false" ht="15" hidden="false" customHeight="false" outlineLevel="0" collapsed="false">
      <c r="A17" s="9" t="s">
        <v>72</v>
      </c>
      <c r="B17" s="13"/>
      <c r="C17" s="11" t="s">
        <v>73</v>
      </c>
    </row>
  </sheetData>
  <dataValidations count="5">
    <dataValidation allowBlank="false" errorStyle="stop" operator="between" showDropDown="false" showErrorMessage="false" showInputMessage="false" sqref="B4" type="list">
      <formula1>"NO,ALERTA,EXIGIR"</formula1>
      <formula2>0</formula2>
    </dataValidation>
    <dataValidation allowBlank="false" errorStyle="stop" operator="between" showDropDown="false" showErrorMessage="false" showInputMessage="false" sqref="B10" type="list">
      <formula1>"SI,NO"</formula1>
      <formula2>0</formula2>
    </dataValidation>
    <dataValidation allowBlank="false" errorStyle="stop" operator="between" showDropDown="false" showErrorMessage="false" showInputMessage="false" sqref="B11" type="list">
      <formula1>"SI,NO"</formula1>
      <formula2>0</formula2>
    </dataValidation>
    <dataValidation allowBlank="false" errorStyle="stop" operator="between" showDropDown="false" showErrorMessage="false" showInputMessage="false" sqref="B12" type="list">
      <formula1>"SI,NO"</formula1>
      <formula2>0</formula2>
    </dataValidation>
    <dataValidation allowBlank="false" errorStyle="stop" operator="between" showDropDown="false" showErrorMessage="false" showInputMessage="false" sqref="B15"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A1:J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5"/>
    <col collapsed="false" customWidth="true" hidden="false" outlineLevel="0" max="6" min="6" style="0" width="46"/>
    <col collapsed="false" customWidth="true" hidden="false" outlineLevel="0" max="7" min="7" style="0" width="13"/>
    <col collapsed="false" customWidth="true" hidden="false" outlineLevel="0" max="8" min="8" style="0" width="42"/>
    <col collapsed="false" customWidth="true" hidden="false" outlineLevel="0" max="9" min="9" style="0" width="10"/>
    <col collapsed="false" customWidth="true" hidden="false" outlineLevel="0" max="10" min="10" style="0" width="9"/>
  </cols>
  <sheetData>
    <row r="1" customFormat="false" ht="30" hidden="false" customHeight="true" outlineLevel="0" collapsed="false">
      <c r="A1" s="8" t="s">
        <v>74</v>
      </c>
      <c r="B1" s="8" t="s">
        <v>75</v>
      </c>
      <c r="C1" s="8" t="s">
        <v>76</v>
      </c>
      <c r="D1" s="8" t="s">
        <v>77</v>
      </c>
      <c r="E1" s="8" t="s">
        <v>78</v>
      </c>
      <c r="F1" s="8" t="s">
        <v>79</v>
      </c>
      <c r="G1" s="8" t="s">
        <v>80</v>
      </c>
      <c r="H1" s="8" t="s">
        <v>81</v>
      </c>
      <c r="I1" s="8" t="s">
        <v>82</v>
      </c>
      <c r="J1" s="8" t="s">
        <v>83</v>
      </c>
    </row>
    <row r="2" customFormat="false" ht="15" hidden="false" customHeight="false" outlineLevel="0" collapsed="false">
      <c r="A2" s="14" t="s">
        <v>84</v>
      </c>
      <c r="B2" s="15" t="s">
        <v>85</v>
      </c>
      <c r="C2" s="14" t="s">
        <v>86</v>
      </c>
      <c r="D2" s="14" t="s">
        <v>87</v>
      </c>
      <c r="E2" s="14" t="s">
        <v>88</v>
      </c>
      <c r="F2" s="15" t="s">
        <v>89</v>
      </c>
      <c r="G2" s="14" t="s">
        <v>90</v>
      </c>
      <c r="H2" s="15" t="s">
        <v>91</v>
      </c>
      <c r="I2" s="15" t="s">
        <v>92</v>
      </c>
      <c r="J2" s="15" t="n">
        <v>5</v>
      </c>
    </row>
    <row r="3" customFormat="false" ht="15" hidden="false" customHeight="false" outlineLevel="0" collapsed="false">
      <c r="A3" s="14" t="s">
        <v>93</v>
      </c>
      <c r="B3" s="15" t="s">
        <v>85</v>
      </c>
      <c r="C3" s="14" t="s">
        <v>86</v>
      </c>
      <c r="D3" s="14" t="s">
        <v>94</v>
      </c>
      <c r="E3" s="14" t="s">
        <v>95</v>
      </c>
      <c r="F3" s="15" t="s">
        <v>96</v>
      </c>
      <c r="G3" s="14" t="s">
        <v>97</v>
      </c>
      <c r="H3" s="15" t="s">
        <v>98</v>
      </c>
      <c r="I3" s="15" t="s">
        <v>99</v>
      </c>
      <c r="J3" s="15" t="n">
        <v>11</v>
      </c>
    </row>
    <row r="4" customFormat="false" ht="15" hidden="false" customHeight="false" outlineLevel="0" collapsed="false">
      <c r="A4" s="14" t="s">
        <v>100</v>
      </c>
      <c r="B4" s="15" t="s">
        <v>85</v>
      </c>
      <c r="C4" s="14" t="s">
        <v>86</v>
      </c>
      <c r="D4" s="14" t="s">
        <v>87</v>
      </c>
      <c r="E4" s="14" t="s">
        <v>101</v>
      </c>
      <c r="F4" s="15" t="s">
        <v>102</v>
      </c>
      <c r="G4" s="14" t="s">
        <v>103</v>
      </c>
      <c r="H4" s="15" t="s">
        <v>104</v>
      </c>
      <c r="I4" s="15" t="s">
        <v>105</v>
      </c>
      <c r="J4" s="15" t="n">
        <v>11</v>
      </c>
    </row>
    <row r="5" customFormat="false" ht="15" hidden="false" customHeight="false" outlineLevel="0" collapsed="false">
      <c r="A5" s="14" t="s">
        <v>106</v>
      </c>
      <c r="B5" s="15" t="s">
        <v>85</v>
      </c>
      <c r="C5" s="14" t="s">
        <v>86</v>
      </c>
      <c r="D5" s="14" t="s">
        <v>87</v>
      </c>
      <c r="E5" s="14" t="s">
        <v>107</v>
      </c>
      <c r="F5" s="15" t="s">
        <v>108</v>
      </c>
      <c r="G5" s="14" t="s">
        <v>109</v>
      </c>
      <c r="H5" s="15" t="s">
        <v>110</v>
      </c>
      <c r="I5" s="15" t="s">
        <v>111</v>
      </c>
      <c r="J5" s="15" t="n">
        <v>13</v>
      </c>
    </row>
    <row r="6" customFormat="false" ht="15" hidden="false" customHeight="false" outlineLevel="0" collapsed="false">
      <c r="A6" s="14" t="s">
        <v>112</v>
      </c>
      <c r="B6" s="15" t="s">
        <v>85</v>
      </c>
      <c r="C6" s="14" t="s">
        <v>86</v>
      </c>
      <c r="D6" s="14" t="s">
        <v>87</v>
      </c>
      <c r="E6" s="14" t="s">
        <v>113</v>
      </c>
      <c r="F6" s="15" t="s">
        <v>114</v>
      </c>
      <c r="G6" s="14" t="s">
        <v>115</v>
      </c>
      <c r="H6" s="15" t="s">
        <v>116</v>
      </c>
      <c r="I6" s="15" t="s">
        <v>117</v>
      </c>
      <c r="J6" s="15" t="n">
        <v>25</v>
      </c>
    </row>
    <row r="7" customFormat="false" ht="15" hidden="false" customHeight="false" outlineLevel="0" collapsed="false">
      <c r="A7" s="14" t="s">
        <v>118</v>
      </c>
      <c r="B7" s="15" t="s">
        <v>85</v>
      </c>
      <c r="C7" s="14" t="s">
        <v>86</v>
      </c>
      <c r="D7" s="14" t="s">
        <v>87</v>
      </c>
      <c r="E7" s="14" t="s">
        <v>119</v>
      </c>
      <c r="F7" s="15" t="s">
        <v>120</v>
      </c>
      <c r="G7" s="14" t="s">
        <v>121</v>
      </c>
      <c r="H7" s="15" t="s">
        <v>122</v>
      </c>
      <c r="I7" s="15" t="s">
        <v>123</v>
      </c>
      <c r="J7" s="15" t="n">
        <v>12</v>
      </c>
    </row>
    <row r="8" customFormat="false" ht="15" hidden="false" customHeight="false" outlineLevel="0" collapsed="false">
      <c r="A8" s="14" t="s">
        <v>124</v>
      </c>
      <c r="B8" s="15" t="s">
        <v>85</v>
      </c>
      <c r="C8" s="14" t="s">
        <v>86</v>
      </c>
      <c r="D8" s="14" t="s">
        <v>87</v>
      </c>
      <c r="E8" s="14" t="s">
        <v>125</v>
      </c>
      <c r="F8" s="15" t="s">
        <v>126</v>
      </c>
      <c r="G8" s="14" t="s">
        <v>127</v>
      </c>
      <c r="H8" s="15" t="s">
        <v>128</v>
      </c>
      <c r="I8" s="15" t="s">
        <v>129</v>
      </c>
      <c r="J8" s="15" t="n">
        <v>14</v>
      </c>
    </row>
    <row r="9" customFormat="false" ht="15" hidden="false" customHeight="false" outlineLevel="0" collapsed="false">
      <c r="A9" s="14" t="s">
        <v>130</v>
      </c>
      <c r="B9" s="15" t="s">
        <v>85</v>
      </c>
      <c r="C9" s="14" t="s">
        <v>86</v>
      </c>
      <c r="D9" s="14" t="s">
        <v>87</v>
      </c>
      <c r="E9" s="14" t="s">
        <v>131</v>
      </c>
      <c r="F9" s="15" t="s">
        <v>132</v>
      </c>
      <c r="G9" s="14" t="s">
        <v>133</v>
      </c>
      <c r="H9" s="15" t="s">
        <v>134</v>
      </c>
      <c r="I9" s="15" t="s">
        <v>135</v>
      </c>
      <c r="J9" s="15" t="n">
        <v>15</v>
      </c>
    </row>
    <row r="10" customFormat="false" ht="15" hidden="false" customHeight="false" outlineLevel="0" collapsed="false">
      <c r="A10" s="14" t="s">
        <v>136</v>
      </c>
      <c r="B10" s="15" t="s">
        <v>85</v>
      </c>
      <c r="C10" s="14" t="s">
        <v>86</v>
      </c>
      <c r="D10" s="14" t="s">
        <v>94</v>
      </c>
      <c r="E10" s="14" t="s">
        <v>137</v>
      </c>
      <c r="F10" s="15" t="s">
        <v>138</v>
      </c>
      <c r="G10" s="14" t="s">
        <v>139</v>
      </c>
      <c r="H10" s="15" t="s">
        <v>140</v>
      </c>
      <c r="I10" s="15" t="s">
        <v>141</v>
      </c>
      <c r="J10" s="15" t="n">
        <v>7</v>
      </c>
    </row>
    <row r="11" customFormat="false" ht="15" hidden="false" customHeight="false" outlineLevel="0" collapsed="false">
      <c r="A11" s="14" t="s">
        <v>142</v>
      </c>
      <c r="B11" s="15" t="s">
        <v>85</v>
      </c>
      <c r="C11" s="14" t="s">
        <v>86</v>
      </c>
      <c r="D11" s="14" t="s">
        <v>87</v>
      </c>
      <c r="E11" s="14" t="s">
        <v>143</v>
      </c>
      <c r="F11" s="15" t="s">
        <v>144</v>
      </c>
      <c r="G11" s="14" t="s">
        <v>145</v>
      </c>
      <c r="H11" s="15" t="s">
        <v>146</v>
      </c>
      <c r="I11" s="15" t="s">
        <v>147</v>
      </c>
      <c r="J11" s="15" t="n">
        <v>12</v>
      </c>
    </row>
    <row r="12" customFormat="false" ht="15" hidden="false" customHeight="false" outlineLevel="0" collapsed="false">
      <c r="A12" s="14" t="s">
        <v>148</v>
      </c>
      <c r="B12" s="15" t="s">
        <v>85</v>
      </c>
      <c r="C12" s="14" t="s">
        <v>86</v>
      </c>
      <c r="D12" s="14" t="s">
        <v>87</v>
      </c>
      <c r="E12" s="14" t="s">
        <v>149</v>
      </c>
      <c r="F12" s="15" t="s">
        <v>150</v>
      </c>
      <c r="G12" s="14" t="s">
        <v>151</v>
      </c>
      <c r="H12" s="15" t="s">
        <v>152</v>
      </c>
      <c r="I12" s="15" t="s">
        <v>153</v>
      </c>
      <c r="J12" s="15" t="n">
        <v>15</v>
      </c>
    </row>
    <row r="13" customFormat="false" ht="15" hidden="false" customHeight="false" outlineLevel="0" collapsed="false">
      <c r="A13" s="14" t="s">
        <v>154</v>
      </c>
      <c r="B13" s="15" t="s">
        <v>85</v>
      </c>
      <c r="C13" s="14" t="s">
        <v>87</v>
      </c>
      <c r="D13" s="14" t="s">
        <v>155</v>
      </c>
      <c r="E13" s="14" t="s">
        <v>156</v>
      </c>
      <c r="F13" s="15" t="s">
        <v>157</v>
      </c>
      <c r="G13" s="14" t="s">
        <v>109</v>
      </c>
      <c r="H13" s="15" t="s">
        <v>110</v>
      </c>
      <c r="I13" s="15" t="s">
        <v>158</v>
      </c>
      <c r="J13" s="15" t="n">
        <v>16</v>
      </c>
    </row>
    <row r="14" customFormat="false" ht="15" hidden="false" customHeight="false" outlineLevel="0" collapsed="false">
      <c r="A14" s="14" t="s">
        <v>159</v>
      </c>
      <c r="B14" s="15" t="s">
        <v>85</v>
      </c>
      <c r="C14" s="14" t="s">
        <v>87</v>
      </c>
      <c r="D14" s="14" t="s">
        <v>155</v>
      </c>
      <c r="E14" s="14" t="s">
        <v>160</v>
      </c>
      <c r="F14" s="15" t="s">
        <v>161</v>
      </c>
      <c r="G14" s="14" t="s">
        <v>115</v>
      </c>
      <c r="H14" s="15" t="s">
        <v>116</v>
      </c>
      <c r="I14" s="15" t="s">
        <v>92</v>
      </c>
      <c r="J14" s="15" t="n">
        <v>27</v>
      </c>
    </row>
    <row r="15" customFormat="false" ht="15" hidden="false" customHeight="false" outlineLevel="0" collapsed="false">
      <c r="A15" s="14" t="s">
        <v>162</v>
      </c>
      <c r="B15" s="15" t="s">
        <v>85</v>
      </c>
      <c r="C15" s="14" t="s">
        <v>87</v>
      </c>
      <c r="D15" s="14" t="s">
        <v>163</v>
      </c>
      <c r="E15" s="14" t="s">
        <v>164</v>
      </c>
      <c r="F15" s="15" t="s">
        <v>150</v>
      </c>
      <c r="G15" s="14" t="s">
        <v>139</v>
      </c>
      <c r="H15" s="15" t="s">
        <v>140</v>
      </c>
      <c r="I15" s="15" t="s">
        <v>99</v>
      </c>
      <c r="J15" s="15" t="n">
        <v>12</v>
      </c>
    </row>
    <row r="16" customFormat="false" ht="15" hidden="false" customHeight="false" outlineLevel="0" collapsed="false">
      <c r="A16" s="14" t="s">
        <v>165</v>
      </c>
      <c r="B16" s="15" t="s">
        <v>85</v>
      </c>
      <c r="C16" s="14" t="s">
        <v>87</v>
      </c>
      <c r="D16" s="14" t="s">
        <v>163</v>
      </c>
      <c r="E16" s="14" t="s">
        <v>166</v>
      </c>
      <c r="F16" s="15" t="s">
        <v>167</v>
      </c>
      <c r="G16" s="14" t="s">
        <v>168</v>
      </c>
      <c r="H16" s="15" t="s">
        <v>169</v>
      </c>
      <c r="I16" s="15" t="s">
        <v>105</v>
      </c>
      <c r="J16" s="15" t="n">
        <v>9</v>
      </c>
    </row>
    <row r="17" customFormat="false" ht="15" hidden="false" customHeight="false" outlineLevel="0" collapsed="false">
      <c r="A17" s="14" t="s">
        <v>170</v>
      </c>
      <c r="B17" s="15" t="s">
        <v>85</v>
      </c>
      <c r="C17" s="14" t="s">
        <v>87</v>
      </c>
      <c r="D17" s="14" t="s">
        <v>163</v>
      </c>
      <c r="E17" s="14" t="s">
        <v>171</v>
      </c>
      <c r="F17" s="15" t="s">
        <v>172</v>
      </c>
      <c r="G17" s="14" t="s">
        <v>173</v>
      </c>
      <c r="H17" s="15" t="s">
        <v>174</v>
      </c>
      <c r="I17" s="15" t="s">
        <v>111</v>
      </c>
      <c r="J17" s="15" t="n">
        <v>10</v>
      </c>
    </row>
    <row r="18" customFormat="false" ht="15" hidden="false" customHeight="false" outlineLevel="0" collapsed="false">
      <c r="A18" s="14" t="s">
        <v>175</v>
      </c>
      <c r="B18" s="15" t="s">
        <v>85</v>
      </c>
      <c r="C18" s="14" t="s">
        <v>87</v>
      </c>
      <c r="D18" s="14" t="s">
        <v>163</v>
      </c>
      <c r="E18" s="14" t="s">
        <v>176</v>
      </c>
      <c r="F18" s="15" t="s">
        <v>177</v>
      </c>
      <c r="G18" s="14" t="s">
        <v>178</v>
      </c>
      <c r="H18" s="15" t="s">
        <v>179</v>
      </c>
      <c r="I18" s="15" t="s">
        <v>135</v>
      </c>
      <c r="J18" s="15" t="n">
        <v>14</v>
      </c>
    </row>
    <row r="19" customFormat="false" ht="15" hidden="false" customHeight="false" outlineLevel="0" collapsed="false">
      <c r="A19" s="14" t="s">
        <v>180</v>
      </c>
      <c r="B19" s="15" t="s">
        <v>85</v>
      </c>
      <c r="C19" s="14" t="s">
        <v>87</v>
      </c>
      <c r="D19" s="14" t="s">
        <v>155</v>
      </c>
      <c r="E19" s="14" t="s">
        <v>181</v>
      </c>
      <c r="F19" s="15" t="s">
        <v>138</v>
      </c>
      <c r="G19" s="14" t="s">
        <v>151</v>
      </c>
      <c r="H19" s="15" t="s">
        <v>152</v>
      </c>
      <c r="I19" s="15" t="s">
        <v>153</v>
      </c>
      <c r="J19" s="15" t="n">
        <v>15</v>
      </c>
    </row>
    <row r="20" customFormat="false" ht="15" hidden="false" customHeight="false" outlineLevel="0" collapsed="false">
      <c r="A20" s="14" t="s">
        <v>182</v>
      </c>
      <c r="B20" s="15" t="s">
        <v>85</v>
      </c>
      <c r="C20" s="14" t="s">
        <v>163</v>
      </c>
      <c r="D20" s="14" t="s">
        <v>155</v>
      </c>
      <c r="E20" s="14" t="s">
        <v>183</v>
      </c>
      <c r="F20" s="15" t="s">
        <v>184</v>
      </c>
      <c r="G20" s="14" t="s">
        <v>185</v>
      </c>
      <c r="H20" s="15" t="s">
        <v>186</v>
      </c>
      <c r="I20" s="15" t="s">
        <v>99</v>
      </c>
      <c r="J20" s="15" t="n">
        <v>13</v>
      </c>
    </row>
    <row r="21" customFormat="false" ht="15" hidden="false" customHeight="false" outlineLevel="0" collapsed="false">
      <c r="A21" s="14" t="s">
        <v>187</v>
      </c>
      <c r="B21" s="15" t="s">
        <v>85</v>
      </c>
      <c r="C21" s="14" t="s">
        <v>163</v>
      </c>
      <c r="D21" s="14" t="s">
        <v>155</v>
      </c>
      <c r="E21" s="14" t="s">
        <v>188</v>
      </c>
      <c r="F21" s="15" t="s">
        <v>189</v>
      </c>
      <c r="G21" s="14" t="s">
        <v>190</v>
      </c>
      <c r="H21" s="15" t="s">
        <v>191</v>
      </c>
      <c r="I21" s="15" t="s">
        <v>111</v>
      </c>
      <c r="J21" s="15" t="n">
        <v>20</v>
      </c>
    </row>
    <row r="22" customFormat="false" ht="15" hidden="false" customHeight="false" outlineLevel="0" collapsed="false">
      <c r="A22" s="14" t="s">
        <v>192</v>
      </c>
      <c r="B22" s="15" t="s">
        <v>85</v>
      </c>
      <c r="C22" s="14" t="s">
        <v>163</v>
      </c>
      <c r="D22" s="14" t="s">
        <v>155</v>
      </c>
      <c r="E22" s="14" t="s">
        <v>193</v>
      </c>
      <c r="F22" s="15" t="s">
        <v>177</v>
      </c>
      <c r="G22" s="14" t="s">
        <v>178</v>
      </c>
      <c r="H22" s="15" t="s">
        <v>179</v>
      </c>
      <c r="I22" s="15" t="s">
        <v>135</v>
      </c>
      <c r="J22" s="15" t="n">
        <v>15</v>
      </c>
    </row>
    <row r="23" customFormat="false" ht="15" hidden="false" customHeight="false" outlineLevel="0" collapsed="false">
      <c r="A23" s="14" t="s">
        <v>194</v>
      </c>
      <c r="B23" s="15" t="s">
        <v>85</v>
      </c>
      <c r="C23" s="14" t="s">
        <v>155</v>
      </c>
      <c r="D23" s="14" t="s">
        <v>195</v>
      </c>
      <c r="E23" s="14" t="s">
        <v>196</v>
      </c>
      <c r="F23" s="15" t="s">
        <v>197</v>
      </c>
      <c r="G23" s="14" t="s">
        <v>198</v>
      </c>
      <c r="H23" s="15" t="s">
        <v>199</v>
      </c>
      <c r="I23" s="15" t="s">
        <v>92</v>
      </c>
      <c r="J23" s="15" t="n">
        <v>13</v>
      </c>
    </row>
    <row r="24" customFormat="false" ht="15" hidden="false" customHeight="false" outlineLevel="0" collapsed="false">
      <c r="A24" s="14" t="s">
        <v>200</v>
      </c>
      <c r="B24" s="15" t="s">
        <v>85</v>
      </c>
      <c r="C24" s="14" t="s">
        <v>155</v>
      </c>
      <c r="D24" s="14" t="s">
        <v>201</v>
      </c>
      <c r="E24" s="14" t="s">
        <v>202</v>
      </c>
      <c r="F24" s="15" t="s">
        <v>203</v>
      </c>
      <c r="G24" s="14" t="s">
        <v>204</v>
      </c>
      <c r="H24" s="15" t="s">
        <v>205</v>
      </c>
      <c r="I24" s="15" t="s">
        <v>99</v>
      </c>
      <c r="J24" s="15" t="n">
        <v>12</v>
      </c>
    </row>
    <row r="25" customFormat="false" ht="15" hidden="false" customHeight="false" outlineLevel="0" collapsed="false">
      <c r="A25" s="14" t="s">
        <v>206</v>
      </c>
      <c r="B25" s="15" t="s">
        <v>85</v>
      </c>
      <c r="C25" s="14" t="s">
        <v>155</v>
      </c>
      <c r="D25" s="14" t="s">
        <v>201</v>
      </c>
      <c r="E25" s="14" t="s">
        <v>207</v>
      </c>
      <c r="F25" s="15" t="s">
        <v>208</v>
      </c>
      <c r="G25" s="14" t="s">
        <v>209</v>
      </c>
      <c r="H25" s="15" t="s">
        <v>210</v>
      </c>
      <c r="I25" s="15" t="s">
        <v>105</v>
      </c>
      <c r="J25" s="15" t="n">
        <v>12</v>
      </c>
    </row>
    <row r="26" customFormat="false" ht="15" hidden="false" customHeight="false" outlineLevel="0" collapsed="false">
      <c r="A26" s="14" t="s">
        <v>211</v>
      </c>
      <c r="B26" s="15" t="s">
        <v>85</v>
      </c>
      <c r="C26" s="14" t="s">
        <v>155</v>
      </c>
      <c r="D26" s="14" t="s">
        <v>201</v>
      </c>
      <c r="E26" s="14" t="s">
        <v>212</v>
      </c>
      <c r="F26" s="15" t="s">
        <v>213</v>
      </c>
      <c r="G26" s="14" t="s">
        <v>190</v>
      </c>
      <c r="H26" s="15" t="s">
        <v>191</v>
      </c>
      <c r="I26" s="15" t="s">
        <v>214</v>
      </c>
      <c r="J26" s="15" t="n">
        <v>18</v>
      </c>
    </row>
    <row r="27" customFormat="false" ht="15" hidden="false" customHeight="false" outlineLevel="0" collapsed="false">
      <c r="A27" s="14" t="s">
        <v>215</v>
      </c>
      <c r="B27" s="15" t="s">
        <v>85</v>
      </c>
      <c r="C27" s="14" t="s">
        <v>155</v>
      </c>
      <c r="D27" s="14" t="s">
        <v>201</v>
      </c>
      <c r="E27" s="14" t="s">
        <v>216</v>
      </c>
      <c r="F27" s="15" t="s">
        <v>217</v>
      </c>
      <c r="G27" s="14" t="s">
        <v>133</v>
      </c>
      <c r="H27" s="15" t="s">
        <v>134</v>
      </c>
      <c r="I27" s="15" t="s">
        <v>111</v>
      </c>
      <c r="J27" s="15" t="n">
        <v>14</v>
      </c>
    </row>
    <row r="28" customFormat="false" ht="15" hidden="false" customHeight="false" outlineLevel="0" collapsed="false">
      <c r="A28" s="14" t="s">
        <v>218</v>
      </c>
      <c r="B28" s="15" t="s">
        <v>85</v>
      </c>
      <c r="C28" s="14" t="s">
        <v>155</v>
      </c>
      <c r="D28" s="14" t="s">
        <v>201</v>
      </c>
      <c r="E28" s="14" t="s">
        <v>219</v>
      </c>
      <c r="F28" s="15" t="s">
        <v>220</v>
      </c>
      <c r="G28" s="14" t="s">
        <v>115</v>
      </c>
      <c r="H28" s="15" t="s">
        <v>116</v>
      </c>
      <c r="I28" s="15" t="s">
        <v>221</v>
      </c>
      <c r="J28" s="15" t="n">
        <v>14</v>
      </c>
    </row>
    <row r="29" customFormat="false" ht="15" hidden="false" customHeight="false" outlineLevel="0" collapsed="false">
      <c r="A29" s="14" t="s">
        <v>222</v>
      </c>
      <c r="B29" s="15" t="s">
        <v>85</v>
      </c>
      <c r="C29" s="14" t="s">
        <v>155</v>
      </c>
      <c r="D29" s="14" t="s">
        <v>201</v>
      </c>
      <c r="E29" s="14" t="s">
        <v>223</v>
      </c>
      <c r="F29" s="15" t="s">
        <v>224</v>
      </c>
      <c r="G29" s="14" t="s">
        <v>225</v>
      </c>
      <c r="H29" s="15" t="s">
        <v>226</v>
      </c>
      <c r="I29" s="15" t="s">
        <v>129</v>
      </c>
      <c r="J29" s="15" t="n">
        <v>8</v>
      </c>
    </row>
    <row r="30" customFormat="false" ht="15" hidden="false" customHeight="false" outlineLevel="0" collapsed="false">
      <c r="A30" s="14" t="s">
        <v>227</v>
      </c>
      <c r="B30" s="15" t="s">
        <v>85</v>
      </c>
      <c r="C30" s="14" t="s">
        <v>155</v>
      </c>
      <c r="D30" s="14" t="s">
        <v>201</v>
      </c>
      <c r="E30" s="14" t="s">
        <v>183</v>
      </c>
      <c r="F30" s="15" t="s">
        <v>184</v>
      </c>
      <c r="G30" s="14" t="s">
        <v>185</v>
      </c>
      <c r="H30" s="15" t="s">
        <v>186</v>
      </c>
      <c r="I30" s="15" t="s">
        <v>228</v>
      </c>
      <c r="J30" s="15" t="n">
        <v>13</v>
      </c>
    </row>
    <row r="31" customFormat="false" ht="15" hidden="false" customHeight="false" outlineLevel="0" collapsed="false">
      <c r="A31" s="14" t="s">
        <v>229</v>
      </c>
      <c r="B31" s="15" t="s">
        <v>85</v>
      </c>
      <c r="C31" s="14" t="s">
        <v>155</v>
      </c>
      <c r="D31" s="14" t="s">
        <v>201</v>
      </c>
      <c r="E31" s="14" t="s">
        <v>230</v>
      </c>
      <c r="F31" s="15" t="s">
        <v>138</v>
      </c>
      <c r="G31" s="14" t="s">
        <v>139</v>
      </c>
      <c r="H31" s="15" t="s">
        <v>140</v>
      </c>
      <c r="I31" s="15" t="s">
        <v>147</v>
      </c>
      <c r="J31" s="15" t="n">
        <v>9</v>
      </c>
    </row>
    <row r="32" customFormat="false" ht="15" hidden="false" customHeight="false" outlineLevel="0" collapsed="false">
      <c r="A32" s="14" t="s">
        <v>231</v>
      </c>
      <c r="B32" s="15" t="s">
        <v>85</v>
      </c>
      <c r="C32" s="14" t="s">
        <v>195</v>
      </c>
      <c r="D32" s="14" t="s">
        <v>201</v>
      </c>
      <c r="E32" s="14" t="s">
        <v>232</v>
      </c>
      <c r="F32" s="15" t="s">
        <v>197</v>
      </c>
      <c r="G32" s="14" t="s">
        <v>233</v>
      </c>
      <c r="H32" s="15" t="s">
        <v>234</v>
      </c>
      <c r="I32" s="15" t="s">
        <v>92</v>
      </c>
      <c r="J32" s="15" t="n">
        <v>12</v>
      </c>
    </row>
    <row r="33" customFormat="false" ht="15" hidden="false" customHeight="false" outlineLevel="0" collapsed="false">
      <c r="A33" s="14" t="s">
        <v>235</v>
      </c>
      <c r="B33" s="15" t="s">
        <v>85</v>
      </c>
      <c r="C33" s="14" t="s">
        <v>195</v>
      </c>
      <c r="D33" s="14" t="s">
        <v>201</v>
      </c>
      <c r="E33" s="14" t="s">
        <v>196</v>
      </c>
      <c r="F33" s="15" t="s">
        <v>197</v>
      </c>
      <c r="G33" s="14" t="s">
        <v>198</v>
      </c>
      <c r="H33" s="15" t="s">
        <v>199</v>
      </c>
      <c r="I33" s="15" t="s">
        <v>135</v>
      </c>
      <c r="J33" s="15" t="n">
        <v>13</v>
      </c>
    </row>
    <row r="34" customFormat="false" ht="15" hidden="false" customHeight="false" outlineLevel="0" collapsed="false">
      <c r="A34" s="14" t="s">
        <v>236</v>
      </c>
      <c r="B34" s="15" t="s">
        <v>85</v>
      </c>
      <c r="C34" s="14" t="s">
        <v>237</v>
      </c>
      <c r="D34" s="14" t="s">
        <v>238</v>
      </c>
      <c r="E34" s="14" t="s">
        <v>239</v>
      </c>
      <c r="F34" s="15" t="s">
        <v>240</v>
      </c>
      <c r="G34" s="14" t="s">
        <v>241</v>
      </c>
      <c r="H34" s="15" t="s">
        <v>242</v>
      </c>
      <c r="I34" s="15" t="s">
        <v>158</v>
      </c>
      <c r="J34" s="15" t="n">
        <v>9</v>
      </c>
    </row>
    <row r="35" customFormat="false" ht="15" hidden="false" customHeight="false" outlineLevel="0" collapsed="false">
      <c r="A35" s="14" t="s">
        <v>243</v>
      </c>
      <c r="B35" s="15" t="s">
        <v>85</v>
      </c>
      <c r="C35" s="14" t="s">
        <v>237</v>
      </c>
      <c r="D35" s="14" t="s">
        <v>238</v>
      </c>
      <c r="E35" s="14" t="s">
        <v>244</v>
      </c>
      <c r="F35" s="15" t="s">
        <v>245</v>
      </c>
      <c r="G35" s="14" t="s">
        <v>246</v>
      </c>
      <c r="H35" s="15" t="s">
        <v>247</v>
      </c>
      <c r="I35" s="15" t="s">
        <v>92</v>
      </c>
      <c r="J35" s="15" t="n">
        <v>10</v>
      </c>
    </row>
    <row r="36" customFormat="false" ht="15" hidden="false" customHeight="false" outlineLevel="0" collapsed="false">
      <c r="A36" s="14" t="s">
        <v>248</v>
      </c>
      <c r="B36" s="15" t="s">
        <v>85</v>
      </c>
      <c r="C36" s="14" t="s">
        <v>237</v>
      </c>
      <c r="D36" s="14" t="s">
        <v>238</v>
      </c>
      <c r="E36" s="14" t="s">
        <v>249</v>
      </c>
      <c r="F36" s="15" t="s">
        <v>177</v>
      </c>
      <c r="G36" s="14" t="s">
        <v>178</v>
      </c>
      <c r="H36" s="15" t="s">
        <v>179</v>
      </c>
      <c r="I36" s="15" t="s">
        <v>99</v>
      </c>
      <c r="J36" s="15" t="n">
        <v>20</v>
      </c>
    </row>
    <row r="37" customFormat="false" ht="15" hidden="false" customHeight="false" outlineLevel="0" collapsed="false">
      <c r="A37" s="14" t="s">
        <v>250</v>
      </c>
      <c r="B37" s="15" t="s">
        <v>85</v>
      </c>
      <c r="C37" s="14" t="s">
        <v>237</v>
      </c>
      <c r="D37" s="14" t="s">
        <v>238</v>
      </c>
      <c r="E37" s="14" t="s">
        <v>251</v>
      </c>
      <c r="F37" s="15" t="s">
        <v>252</v>
      </c>
      <c r="G37" s="14" t="s">
        <v>253</v>
      </c>
      <c r="H37" s="15" t="s">
        <v>254</v>
      </c>
      <c r="I37" s="15" t="s">
        <v>129</v>
      </c>
      <c r="J37" s="15" t="n">
        <v>10</v>
      </c>
    </row>
    <row r="38" customFormat="false" ht="15" hidden="false" customHeight="false" outlineLevel="0" collapsed="false">
      <c r="A38" s="14" t="s">
        <v>255</v>
      </c>
      <c r="B38" s="15" t="s">
        <v>85</v>
      </c>
      <c r="C38" s="14" t="s">
        <v>237</v>
      </c>
      <c r="D38" s="14" t="s">
        <v>238</v>
      </c>
      <c r="E38" s="14" t="s">
        <v>256</v>
      </c>
      <c r="F38" s="15" t="s">
        <v>257</v>
      </c>
      <c r="G38" s="14" t="s">
        <v>258</v>
      </c>
      <c r="H38" s="15" t="s">
        <v>259</v>
      </c>
      <c r="I38" s="15" t="s">
        <v>228</v>
      </c>
      <c r="J38" s="15" t="n">
        <v>6</v>
      </c>
    </row>
    <row r="39" customFormat="false" ht="15" hidden="false" customHeight="false" outlineLevel="0" collapsed="false">
      <c r="A39" s="14" t="s">
        <v>260</v>
      </c>
      <c r="B39" s="15" t="s">
        <v>85</v>
      </c>
      <c r="C39" s="14" t="s">
        <v>237</v>
      </c>
      <c r="D39" s="14" t="s">
        <v>238</v>
      </c>
      <c r="E39" s="14" t="s">
        <v>261</v>
      </c>
      <c r="F39" s="15" t="s">
        <v>262</v>
      </c>
      <c r="G39" s="14" t="s">
        <v>263</v>
      </c>
      <c r="H39" s="15" t="s">
        <v>264</v>
      </c>
      <c r="I39" s="15" t="s">
        <v>265</v>
      </c>
      <c r="J39" s="15" t="n">
        <v>10</v>
      </c>
    </row>
    <row r="40" customFormat="false" ht="15" hidden="false" customHeight="false" outlineLevel="0" collapsed="false">
      <c r="A40" s="14" t="s">
        <v>266</v>
      </c>
      <c r="B40" s="15" t="s">
        <v>85</v>
      </c>
      <c r="C40" s="14" t="s">
        <v>237</v>
      </c>
      <c r="D40" s="14" t="s">
        <v>238</v>
      </c>
      <c r="E40" s="14" t="s">
        <v>267</v>
      </c>
      <c r="F40" s="15" t="s">
        <v>268</v>
      </c>
      <c r="G40" s="14" t="s">
        <v>145</v>
      </c>
      <c r="H40" s="15" t="s">
        <v>146</v>
      </c>
      <c r="I40" s="15" t="s">
        <v>135</v>
      </c>
      <c r="J40" s="15" t="n">
        <v>14</v>
      </c>
    </row>
    <row r="41" customFormat="false" ht="15" hidden="false" customHeight="false" outlineLevel="0" collapsed="false">
      <c r="A41" s="14" t="s">
        <v>269</v>
      </c>
      <c r="B41" s="15" t="s">
        <v>85</v>
      </c>
      <c r="C41" s="14" t="s">
        <v>237</v>
      </c>
      <c r="D41" s="14" t="s">
        <v>238</v>
      </c>
      <c r="E41" s="14" t="s">
        <v>270</v>
      </c>
      <c r="F41" s="15" t="s">
        <v>217</v>
      </c>
      <c r="G41" s="14" t="s">
        <v>271</v>
      </c>
      <c r="H41" s="15" t="s">
        <v>272</v>
      </c>
      <c r="I41" s="15" t="s">
        <v>147</v>
      </c>
      <c r="J41" s="15" t="n">
        <v>13</v>
      </c>
    </row>
    <row r="42" customFormat="false" ht="15" hidden="false" customHeight="false" outlineLevel="0" collapsed="false">
      <c r="A42" s="14" t="s">
        <v>273</v>
      </c>
      <c r="B42" s="15" t="s">
        <v>85</v>
      </c>
      <c r="C42" s="14" t="s">
        <v>274</v>
      </c>
      <c r="D42" s="14" t="s">
        <v>238</v>
      </c>
      <c r="E42" s="14" t="s">
        <v>275</v>
      </c>
      <c r="F42" s="15" t="s">
        <v>184</v>
      </c>
      <c r="G42" s="14" t="s">
        <v>276</v>
      </c>
      <c r="H42" s="15" t="s">
        <v>277</v>
      </c>
      <c r="I42" s="15" t="s">
        <v>105</v>
      </c>
      <c r="J42" s="15" t="n">
        <v>6</v>
      </c>
    </row>
    <row r="43" customFormat="false" ht="15" hidden="false" customHeight="false" outlineLevel="0" collapsed="false">
      <c r="A43" s="14" t="s">
        <v>278</v>
      </c>
      <c r="B43" s="15" t="s">
        <v>85</v>
      </c>
      <c r="C43" s="14" t="s">
        <v>238</v>
      </c>
      <c r="D43" s="14" t="s">
        <v>279</v>
      </c>
      <c r="E43" s="14" t="s">
        <v>280</v>
      </c>
      <c r="F43" s="15" t="s">
        <v>281</v>
      </c>
      <c r="G43" s="14" t="s">
        <v>271</v>
      </c>
      <c r="H43" s="15" t="s">
        <v>272</v>
      </c>
      <c r="I43" s="15" t="s">
        <v>158</v>
      </c>
      <c r="J43" s="15" t="n">
        <v>10</v>
      </c>
    </row>
    <row r="44" customFormat="false" ht="15" hidden="false" customHeight="false" outlineLevel="0" collapsed="false">
      <c r="A44" s="14" t="s">
        <v>282</v>
      </c>
      <c r="B44" s="15" t="s">
        <v>85</v>
      </c>
      <c r="C44" s="14" t="s">
        <v>238</v>
      </c>
      <c r="D44" s="14" t="s">
        <v>279</v>
      </c>
      <c r="E44" s="14" t="s">
        <v>283</v>
      </c>
      <c r="F44" s="15" t="s">
        <v>252</v>
      </c>
      <c r="G44" s="14" t="s">
        <v>253</v>
      </c>
      <c r="H44" s="15" t="s">
        <v>254</v>
      </c>
      <c r="I44" s="15" t="s">
        <v>99</v>
      </c>
      <c r="J44" s="15" t="n">
        <v>8</v>
      </c>
    </row>
    <row r="45" customFormat="false" ht="15" hidden="false" customHeight="false" outlineLevel="0" collapsed="false">
      <c r="A45" s="14" t="s">
        <v>284</v>
      </c>
      <c r="B45" s="15" t="s">
        <v>85</v>
      </c>
      <c r="C45" s="14" t="s">
        <v>238</v>
      </c>
      <c r="D45" s="14" t="s">
        <v>279</v>
      </c>
      <c r="E45" s="14" t="s">
        <v>285</v>
      </c>
      <c r="F45" s="15" t="s">
        <v>286</v>
      </c>
      <c r="G45" s="14" t="s">
        <v>287</v>
      </c>
      <c r="H45" s="15" t="s">
        <v>288</v>
      </c>
      <c r="I45" s="15" t="s">
        <v>105</v>
      </c>
      <c r="J45" s="15" t="n">
        <v>15</v>
      </c>
    </row>
    <row r="46" customFormat="false" ht="15" hidden="false" customHeight="false" outlineLevel="0" collapsed="false">
      <c r="A46" s="14" t="s">
        <v>289</v>
      </c>
      <c r="B46" s="15" t="s">
        <v>85</v>
      </c>
      <c r="C46" s="14" t="s">
        <v>238</v>
      </c>
      <c r="D46" s="14" t="s">
        <v>279</v>
      </c>
      <c r="E46" s="14" t="s">
        <v>290</v>
      </c>
      <c r="F46" s="15" t="s">
        <v>291</v>
      </c>
      <c r="G46" s="14" t="s">
        <v>190</v>
      </c>
      <c r="H46" s="15" t="s">
        <v>191</v>
      </c>
      <c r="I46" s="15" t="s">
        <v>214</v>
      </c>
      <c r="J46" s="15" t="n">
        <v>12</v>
      </c>
    </row>
    <row r="47" customFormat="false" ht="15" hidden="false" customHeight="false" outlineLevel="0" collapsed="false">
      <c r="A47" s="14" t="s">
        <v>292</v>
      </c>
      <c r="B47" s="15" t="s">
        <v>85</v>
      </c>
      <c r="C47" s="14" t="s">
        <v>238</v>
      </c>
      <c r="D47" s="14" t="s">
        <v>293</v>
      </c>
      <c r="E47" s="14" t="s">
        <v>294</v>
      </c>
      <c r="F47" s="15" t="s">
        <v>295</v>
      </c>
      <c r="G47" s="14" t="s">
        <v>296</v>
      </c>
      <c r="H47" s="15" t="s">
        <v>297</v>
      </c>
      <c r="I47" s="15" t="s">
        <v>111</v>
      </c>
      <c r="J47" s="15" t="n">
        <v>13</v>
      </c>
    </row>
    <row r="48" customFormat="false" ht="15" hidden="false" customHeight="false" outlineLevel="0" collapsed="false">
      <c r="A48" s="14" t="s">
        <v>298</v>
      </c>
      <c r="B48" s="15" t="s">
        <v>85</v>
      </c>
      <c r="C48" s="14" t="s">
        <v>238</v>
      </c>
      <c r="D48" s="14" t="s">
        <v>279</v>
      </c>
      <c r="E48" s="14" t="s">
        <v>299</v>
      </c>
      <c r="F48" s="15" t="s">
        <v>150</v>
      </c>
      <c r="G48" s="14" t="s">
        <v>276</v>
      </c>
      <c r="H48" s="15" t="s">
        <v>277</v>
      </c>
      <c r="I48" s="15" t="s">
        <v>300</v>
      </c>
      <c r="J48" s="15" t="n">
        <v>9</v>
      </c>
    </row>
    <row r="49" customFormat="false" ht="15" hidden="false" customHeight="false" outlineLevel="0" collapsed="false">
      <c r="A49" s="14" t="s">
        <v>301</v>
      </c>
      <c r="B49" s="15" t="s">
        <v>85</v>
      </c>
      <c r="C49" s="14" t="s">
        <v>238</v>
      </c>
      <c r="D49" s="14" t="s">
        <v>279</v>
      </c>
      <c r="E49" s="14" t="s">
        <v>302</v>
      </c>
      <c r="F49" s="15" t="s">
        <v>303</v>
      </c>
      <c r="G49" s="14" t="s">
        <v>304</v>
      </c>
      <c r="H49" s="15" t="s">
        <v>305</v>
      </c>
      <c r="I49" s="15" t="s">
        <v>123</v>
      </c>
      <c r="J49" s="15" t="n">
        <v>9</v>
      </c>
    </row>
    <row r="50" customFormat="false" ht="15" hidden="false" customHeight="false" outlineLevel="0" collapsed="false">
      <c r="A50" s="14" t="s">
        <v>306</v>
      </c>
      <c r="B50" s="15" t="s">
        <v>85</v>
      </c>
      <c r="C50" s="14" t="s">
        <v>238</v>
      </c>
      <c r="D50" s="14" t="s">
        <v>279</v>
      </c>
      <c r="E50" s="14" t="s">
        <v>307</v>
      </c>
      <c r="F50" s="15" t="s">
        <v>308</v>
      </c>
      <c r="G50" s="14" t="s">
        <v>258</v>
      </c>
      <c r="H50" s="15" t="s">
        <v>259</v>
      </c>
      <c r="I50" s="15" t="s">
        <v>228</v>
      </c>
      <c r="J50" s="15" t="n">
        <v>12</v>
      </c>
    </row>
    <row r="51" customFormat="false" ht="15" hidden="false" customHeight="false" outlineLevel="0" collapsed="false">
      <c r="A51" s="14" t="s">
        <v>309</v>
      </c>
      <c r="B51" s="15" t="s">
        <v>85</v>
      </c>
      <c r="C51" s="14" t="s">
        <v>238</v>
      </c>
      <c r="D51" s="14" t="s">
        <v>279</v>
      </c>
      <c r="E51" s="14" t="s">
        <v>310</v>
      </c>
      <c r="F51" s="15" t="s">
        <v>262</v>
      </c>
      <c r="G51" s="14" t="s">
        <v>241</v>
      </c>
      <c r="H51" s="15" t="s">
        <v>242</v>
      </c>
      <c r="I51" s="15" t="s">
        <v>265</v>
      </c>
      <c r="J51" s="15" t="n">
        <v>11</v>
      </c>
    </row>
    <row r="52" customFormat="false" ht="15" hidden="false" customHeight="false" outlineLevel="0" collapsed="false">
      <c r="A52" s="14" t="s">
        <v>311</v>
      </c>
      <c r="B52" s="15" t="s">
        <v>85</v>
      </c>
      <c r="C52" s="14" t="s">
        <v>238</v>
      </c>
      <c r="D52" s="14" t="s">
        <v>293</v>
      </c>
      <c r="E52" s="14" t="s">
        <v>312</v>
      </c>
      <c r="F52" s="15" t="s">
        <v>313</v>
      </c>
      <c r="G52" s="14" t="s">
        <v>103</v>
      </c>
      <c r="H52" s="15" t="s">
        <v>104</v>
      </c>
      <c r="I52" s="15" t="s">
        <v>135</v>
      </c>
      <c r="J52" s="15" t="n">
        <v>15</v>
      </c>
    </row>
    <row r="53" customFormat="false" ht="15" hidden="false" customHeight="false" outlineLevel="0" collapsed="false">
      <c r="A53" s="14" t="s">
        <v>314</v>
      </c>
      <c r="B53" s="15" t="s">
        <v>85</v>
      </c>
      <c r="C53" s="14" t="s">
        <v>238</v>
      </c>
      <c r="D53" s="14" t="s">
        <v>279</v>
      </c>
      <c r="E53" s="14" t="s">
        <v>315</v>
      </c>
      <c r="F53" s="15" t="s">
        <v>316</v>
      </c>
      <c r="G53" s="14" t="s">
        <v>317</v>
      </c>
      <c r="H53" s="15" t="s">
        <v>318</v>
      </c>
      <c r="I53" s="15" t="s">
        <v>141</v>
      </c>
      <c r="J53" s="15" t="n">
        <v>15</v>
      </c>
    </row>
    <row r="54" customFormat="false" ht="15" hidden="false" customHeight="false" outlineLevel="0" collapsed="false">
      <c r="A54" s="14" t="s">
        <v>319</v>
      </c>
      <c r="B54" s="15" t="s">
        <v>85</v>
      </c>
      <c r="C54" s="14" t="s">
        <v>238</v>
      </c>
      <c r="D54" s="14" t="s">
        <v>279</v>
      </c>
      <c r="E54" s="14" t="s">
        <v>320</v>
      </c>
      <c r="F54" s="15" t="s">
        <v>321</v>
      </c>
      <c r="G54" s="14" t="s">
        <v>209</v>
      </c>
      <c r="H54" s="15" t="s">
        <v>210</v>
      </c>
      <c r="I54" s="15" t="s">
        <v>147</v>
      </c>
      <c r="J54" s="15" t="n">
        <v>11</v>
      </c>
    </row>
    <row r="55" customFormat="false" ht="15" hidden="false" customHeight="false" outlineLevel="0" collapsed="false">
      <c r="A55" s="14" t="s">
        <v>322</v>
      </c>
      <c r="B55" s="15" t="s">
        <v>85</v>
      </c>
      <c r="C55" s="14" t="s">
        <v>293</v>
      </c>
      <c r="D55" s="14" t="s">
        <v>279</v>
      </c>
      <c r="E55" s="14" t="s">
        <v>323</v>
      </c>
      <c r="F55" s="15" t="s">
        <v>177</v>
      </c>
      <c r="G55" s="14" t="s">
        <v>246</v>
      </c>
      <c r="H55" s="15" t="s">
        <v>247</v>
      </c>
      <c r="I55" s="15" t="s">
        <v>111</v>
      </c>
      <c r="J55" s="15" t="n">
        <v>38</v>
      </c>
    </row>
    <row r="56" customFormat="false" ht="15" hidden="false" customHeight="false" outlineLevel="0" collapsed="false">
      <c r="A56" s="14" t="s">
        <v>324</v>
      </c>
      <c r="B56" s="15" t="s">
        <v>85</v>
      </c>
      <c r="C56" s="14" t="s">
        <v>279</v>
      </c>
      <c r="D56" s="14" t="s">
        <v>325</v>
      </c>
      <c r="E56" s="14" t="s">
        <v>326</v>
      </c>
      <c r="F56" s="15" t="s">
        <v>327</v>
      </c>
      <c r="G56" s="14" t="s">
        <v>263</v>
      </c>
      <c r="H56" s="15" t="s">
        <v>264</v>
      </c>
      <c r="I56" s="15" t="s">
        <v>328</v>
      </c>
      <c r="J56" s="15" t="n">
        <v>10</v>
      </c>
    </row>
    <row r="57" customFormat="false" ht="15" hidden="false" customHeight="false" outlineLevel="0" collapsed="false">
      <c r="A57" s="14" t="s">
        <v>329</v>
      </c>
      <c r="B57" s="15" t="s">
        <v>85</v>
      </c>
      <c r="C57" s="14" t="s">
        <v>279</v>
      </c>
      <c r="D57" s="14" t="s">
        <v>325</v>
      </c>
      <c r="E57" s="14" t="s">
        <v>330</v>
      </c>
      <c r="F57" s="15" t="s">
        <v>331</v>
      </c>
      <c r="G57" s="14" t="s">
        <v>332</v>
      </c>
      <c r="H57" s="15" t="s">
        <v>333</v>
      </c>
      <c r="I57" s="15" t="s">
        <v>328</v>
      </c>
      <c r="J57" s="15" t="n">
        <v>6</v>
      </c>
    </row>
    <row r="58" customFormat="false" ht="15" hidden="false" customHeight="false" outlineLevel="0" collapsed="false">
      <c r="A58" s="14" t="s">
        <v>334</v>
      </c>
      <c r="B58" s="15" t="s">
        <v>335</v>
      </c>
      <c r="C58" s="14" t="s">
        <v>86</v>
      </c>
      <c r="D58" s="14" t="s">
        <v>87</v>
      </c>
      <c r="E58" s="14" t="s">
        <v>336</v>
      </c>
      <c r="F58" s="15" t="s">
        <v>337</v>
      </c>
      <c r="G58" s="14" t="s">
        <v>90</v>
      </c>
      <c r="H58" s="15" t="s">
        <v>91</v>
      </c>
      <c r="I58" s="15" t="s">
        <v>158</v>
      </c>
      <c r="J58" s="15" t="n">
        <v>14</v>
      </c>
    </row>
    <row r="59" customFormat="false" ht="15" hidden="false" customHeight="false" outlineLevel="0" collapsed="false">
      <c r="A59" s="14" t="s">
        <v>338</v>
      </c>
      <c r="B59" s="15" t="s">
        <v>335</v>
      </c>
      <c r="C59" s="14" t="s">
        <v>86</v>
      </c>
      <c r="D59" s="14" t="s">
        <v>87</v>
      </c>
      <c r="E59" s="14" t="s">
        <v>339</v>
      </c>
      <c r="F59" s="15" t="s">
        <v>340</v>
      </c>
      <c r="G59" s="14" t="s">
        <v>115</v>
      </c>
      <c r="H59" s="15" t="s">
        <v>116</v>
      </c>
      <c r="I59" s="15" t="s">
        <v>92</v>
      </c>
      <c r="J59" s="15" t="n">
        <v>33</v>
      </c>
    </row>
    <row r="60" customFormat="false" ht="15" hidden="false" customHeight="false" outlineLevel="0" collapsed="false">
      <c r="A60" s="14" t="s">
        <v>341</v>
      </c>
      <c r="B60" s="15" t="s">
        <v>335</v>
      </c>
      <c r="C60" s="14" t="s">
        <v>86</v>
      </c>
      <c r="D60" s="14" t="s">
        <v>87</v>
      </c>
      <c r="E60" s="14" t="s">
        <v>181</v>
      </c>
      <c r="F60" s="15" t="s">
        <v>138</v>
      </c>
      <c r="G60" s="14" t="s">
        <v>151</v>
      </c>
      <c r="H60" s="15" t="s">
        <v>152</v>
      </c>
      <c r="I60" s="15" t="s">
        <v>111</v>
      </c>
      <c r="J60" s="15" t="n">
        <v>15</v>
      </c>
    </row>
    <row r="61" customFormat="false" ht="15" hidden="false" customHeight="false" outlineLevel="0" collapsed="false">
      <c r="A61" s="14" t="s">
        <v>342</v>
      </c>
      <c r="B61" s="15" t="s">
        <v>335</v>
      </c>
      <c r="C61" s="14" t="s">
        <v>86</v>
      </c>
      <c r="D61" s="14" t="s">
        <v>87</v>
      </c>
      <c r="E61" s="14" t="s">
        <v>343</v>
      </c>
      <c r="F61" s="15" t="s">
        <v>240</v>
      </c>
      <c r="G61" s="14" t="s">
        <v>173</v>
      </c>
      <c r="H61" s="15" t="s">
        <v>174</v>
      </c>
      <c r="I61" s="15" t="s">
        <v>344</v>
      </c>
      <c r="J61" s="15" t="n">
        <v>10</v>
      </c>
    </row>
    <row r="62" customFormat="false" ht="15" hidden="false" customHeight="false" outlineLevel="0" collapsed="false">
      <c r="A62" s="14" t="s">
        <v>345</v>
      </c>
      <c r="B62" s="15" t="s">
        <v>335</v>
      </c>
      <c r="C62" s="14" t="s">
        <v>86</v>
      </c>
      <c r="D62" s="14" t="s">
        <v>87</v>
      </c>
      <c r="E62" s="14" t="s">
        <v>346</v>
      </c>
      <c r="F62" s="15" t="s">
        <v>347</v>
      </c>
      <c r="G62" s="14" t="s">
        <v>332</v>
      </c>
      <c r="H62" s="15" t="s">
        <v>333</v>
      </c>
      <c r="I62" s="15" t="s">
        <v>300</v>
      </c>
      <c r="J62" s="15" t="n">
        <v>14</v>
      </c>
    </row>
    <row r="63" customFormat="false" ht="15" hidden="false" customHeight="false" outlineLevel="0" collapsed="false">
      <c r="A63" s="14" t="s">
        <v>348</v>
      </c>
      <c r="B63" s="15" t="s">
        <v>335</v>
      </c>
      <c r="C63" s="14" t="s">
        <v>86</v>
      </c>
      <c r="D63" s="14" t="s">
        <v>87</v>
      </c>
      <c r="E63" s="14" t="s">
        <v>349</v>
      </c>
      <c r="F63" s="15" t="s">
        <v>350</v>
      </c>
      <c r="G63" s="14" t="s">
        <v>351</v>
      </c>
      <c r="H63" s="15" t="s">
        <v>352</v>
      </c>
      <c r="I63" s="15" t="s">
        <v>353</v>
      </c>
      <c r="J63" s="15" t="n">
        <v>13</v>
      </c>
    </row>
    <row r="64" customFormat="false" ht="15" hidden="false" customHeight="false" outlineLevel="0" collapsed="false">
      <c r="A64" s="14" t="s">
        <v>354</v>
      </c>
      <c r="B64" s="15" t="s">
        <v>335</v>
      </c>
      <c r="C64" s="14" t="s">
        <v>86</v>
      </c>
      <c r="D64" s="14" t="s">
        <v>87</v>
      </c>
      <c r="E64" s="14" t="s">
        <v>275</v>
      </c>
      <c r="F64" s="15" t="s">
        <v>184</v>
      </c>
      <c r="G64" s="14" t="s">
        <v>276</v>
      </c>
      <c r="H64" s="15" t="s">
        <v>277</v>
      </c>
      <c r="I64" s="15" t="s">
        <v>228</v>
      </c>
      <c r="J64" s="15" t="n">
        <v>6</v>
      </c>
    </row>
    <row r="65" customFormat="false" ht="15" hidden="false" customHeight="false" outlineLevel="0" collapsed="false">
      <c r="A65" s="14" t="s">
        <v>355</v>
      </c>
      <c r="B65" s="15" t="s">
        <v>335</v>
      </c>
      <c r="C65" s="14" t="s">
        <v>86</v>
      </c>
      <c r="D65" s="14" t="s">
        <v>94</v>
      </c>
      <c r="E65" s="14" t="s">
        <v>356</v>
      </c>
      <c r="F65" s="15" t="s">
        <v>262</v>
      </c>
      <c r="G65" s="14" t="s">
        <v>357</v>
      </c>
      <c r="H65" s="15" t="s">
        <v>358</v>
      </c>
      <c r="I65" s="15" t="s">
        <v>265</v>
      </c>
      <c r="J65" s="15" t="n">
        <v>12</v>
      </c>
    </row>
    <row r="66" customFormat="false" ht="15" hidden="false" customHeight="false" outlineLevel="0" collapsed="false">
      <c r="A66" s="14" t="s">
        <v>359</v>
      </c>
      <c r="B66" s="15" t="s">
        <v>335</v>
      </c>
      <c r="C66" s="14" t="s">
        <v>86</v>
      </c>
      <c r="D66" s="14" t="s">
        <v>87</v>
      </c>
      <c r="E66" s="14" t="s">
        <v>360</v>
      </c>
      <c r="F66" s="15" t="s">
        <v>361</v>
      </c>
      <c r="G66" s="14" t="s">
        <v>97</v>
      </c>
      <c r="H66" s="15" t="s">
        <v>98</v>
      </c>
      <c r="I66" s="15" t="s">
        <v>141</v>
      </c>
      <c r="J66" s="15" t="n">
        <v>12</v>
      </c>
    </row>
    <row r="67" customFormat="false" ht="15" hidden="false" customHeight="false" outlineLevel="0" collapsed="false">
      <c r="A67" s="14" t="s">
        <v>362</v>
      </c>
      <c r="B67" s="15" t="s">
        <v>335</v>
      </c>
      <c r="C67" s="14" t="s">
        <v>94</v>
      </c>
      <c r="D67" s="14" t="s">
        <v>87</v>
      </c>
      <c r="E67" s="14" t="s">
        <v>356</v>
      </c>
      <c r="F67" s="15" t="s">
        <v>262</v>
      </c>
      <c r="G67" s="14" t="s">
        <v>357</v>
      </c>
      <c r="H67" s="15" t="s">
        <v>358</v>
      </c>
      <c r="I67" s="15" t="s">
        <v>99</v>
      </c>
      <c r="J67" s="15" t="n">
        <v>12</v>
      </c>
    </row>
    <row r="68" customFormat="false" ht="15" hidden="false" customHeight="false" outlineLevel="0" collapsed="false">
      <c r="A68" s="14" t="s">
        <v>363</v>
      </c>
      <c r="B68" s="15" t="s">
        <v>335</v>
      </c>
      <c r="C68" s="14" t="s">
        <v>94</v>
      </c>
      <c r="D68" s="14" t="s">
        <v>87</v>
      </c>
      <c r="E68" s="14" t="s">
        <v>364</v>
      </c>
      <c r="F68" s="15" t="s">
        <v>144</v>
      </c>
      <c r="G68" s="14" t="s">
        <v>145</v>
      </c>
      <c r="H68" s="15" t="s">
        <v>146</v>
      </c>
      <c r="I68" s="15" t="s">
        <v>105</v>
      </c>
      <c r="J68" s="15" t="n">
        <v>8</v>
      </c>
    </row>
    <row r="69" customFormat="false" ht="15" hidden="false" customHeight="false" outlineLevel="0" collapsed="false">
      <c r="A69" s="14" t="s">
        <v>365</v>
      </c>
      <c r="B69" s="15" t="s">
        <v>335</v>
      </c>
      <c r="C69" s="14" t="s">
        <v>94</v>
      </c>
      <c r="D69" s="14" t="s">
        <v>87</v>
      </c>
      <c r="E69" s="14" t="s">
        <v>366</v>
      </c>
      <c r="F69" s="15" t="s">
        <v>313</v>
      </c>
      <c r="G69" s="14" t="s">
        <v>103</v>
      </c>
      <c r="H69" s="15" t="s">
        <v>104</v>
      </c>
      <c r="I69" s="15" t="s">
        <v>135</v>
      </c>
      <c r="J69" s="15" t="n">
        <v>5</v>
      </c>
    </row>
    <row r="70" customFormat="false" ht="15" hidden="false" customHeight="false" outlineLevel="0" collapsed="false">
      <c r="A70" s="14" t="s">
        <v>367</v>
      </c>
      <c r="B70" s="15" t="s">
        <v>335</v>
      </c>
      <c r="C70" s="14" t="s">
        <v>87</v>
      </c>
      <c r="D70" s="14" t="s">
        <v>163</v>
      </c>
      <c r="E70" s="14" t="s">
        <v>302</v>
      </c>
      <c r="F70" s="15" t="s">
        <v>303</v>
      </c>
      <c r="G70" s="14" t="s">
        <v>304</v>
      </c>
      <c r="H70" s="15" t="s">
        <v>305</v>
      </c>
      <c r="I70" s="15" t="s">
        <v>92</v>
      </c>
      <c r="J70" s="15" t="n">
        <v>9</v>
      </c>
    </row>
    <row r="71" customFormat="false" ht="15" hidden="false" customHeight="false" outlineLevel="0" collapsed="false">
      <c r="A71" s="14" t="s">
        <v>368</v>
      </c>
      <c r="B71" s="15" t="s">
        <v>335</v>
      </c>
      <c r="C71" s="14" t="s">
        <v>87</v>
      </c>
      <c r="D71" s="14" t="s">
        <v>155</v>
      </c>
      <c r="E71" s="14" t="s">
        <v>307</v>
      </c>
      <c r="F71" s="15" t="s">
        <v>308</v>
      </c>
      <c r="G71" s="14" t="s">
        <v>258</v>
      </c>
      <c r="H71" s="15" t="s">
        <v>259</v>
      </c>
      <c r="I71" s="15" t="s">
        <v>99</v>
      </c>
      <c r="J71" s="15" t="n">
        <v>12</v>
      </c>
    </row>
    <row r="72" customFormat="false" ht="15" hidden="false" customHeight="false" outlineLevel="0" collapsed="false">
      <c r="A72" s="14" t="s">
        <v>369</v>
      </c>
      <c r="B72" s="15" t="s">
        <v>335</v>
      </c>
      <c r="C72" s="14" t="s">
        <v>87</v>
      </c>
      <c r="D72" s="14" t="s">
        <v>163</v>
      </c>
      <c r="E72" s="14" t="s">
        <v>370</v>
      </c>
      <c r="F72" s="15" t="s">
        <v>108</v>
      </c>
      <c r="G72" s="14" t="s">
        <v>109</v>
      </c>
      <c r="H72" s="15" t="s">
        <v>110</v>
      </c>
      <c r="I72" s="15" t="s">
        <v>214</v>
      </c>
      <c r="J72" s="15" t="n">
        <v>12</v>
      </c>
    </row>
    <row r="73" customFormat="false" ht="15" hidden="false" customHeight="false" outlineLevel="0" collapsed="false">
      <c r="A73" s="14" t="s">
        <v>371</v>
      </c>
      <c r="B73" s="15" t="s">
        <v>335</v>
      </c>
      <c r="C73" s="14" t="s">
        <v>87</v>
      </c>
      <c r="D73" s="14" t="s">
        <v>163</v>
      </c>
      <c r="E73" s="14" t="s">
        <v>372</v>
      </c>
      <c r="F73" s="15" t="s">
        <v>373</v>
      </c>
      <c r="G73" s="14" t="s">
        <v>296</v>
      </c>
      <c r="H73" s="15" t="s">
        <v>297</v>
      </c>
      <c r="I73" s="15" t="s">
        <v>111</v>
      </c>
      <c r="J73" s="15" t="n">
        <v>13</v>
      </c>
    </row>
    <row r="74" customFormat="false" ht="15" hidden="false" customHeight="false" outlineLevel="0" collapsed="false">
      <c r="A74" s="14" t="s">
        <v>374</v>
      </c>
      <c r="B74" s="15" t="s">
        <v>335</v>
      </c>
      <c r="C74" s="14" t="s">
        <v>87</v>
      </c>
      <c r="D74" s="14" t="s">
        <v>155</v>
      </c>
      <c r="E74" s="14" t="s">
        <v>375</v>
      </c>
      <c r="F74" s="15" t="s">
        <v>376</v>
      </c>
      <c r="G74" s="14" t="s">
        <v>115</v>
      </c>
      <c r="H74" s="15" t="s">
        <v>116</v>
      </c>
      <c r="I74" s="15" t="s">
        <v>344</v>
      </c>
      <c r="J74" s="15" t="n">
        <v>5</v>
      </c>
    </row>
    <row r="75" customFormat="false" ht="15" hidden="false" customHeight="false" outlineLevel="0" collapsed="false">
      <c r="A75" s="14" t="s">
        <v>377</v>
      </c>
      <c r="B75" s="15" t="s">
        <v>335</v>
      </c>
      <c r="C75" s="14" t="s">
        <v>87</v>
      </c>
      <c r="D75" s="14" t="s">
        <v>155</v>
      </c>
      <c r="E75" s="14" t="s">
        <v>378</v>
      </c>
      <c r="F75" s="15" t="s">
        <v>379</v>
      </c>
      <c r="G75" s="14" t="s">
        <v>90</v>
      </c>
      <c r="H75" s="15" t="s">
        <v>91</v>
      </c>
      <c r="I75" s="15" t="s">
        <v>221</v>
      </c>
      <c r="J75" s="15" t="n">
        <v>9</v>
      </c>
    </row>
    <row r="76" customFormat="false" ht="15" hidden="false" customHeight="false" outlineLevel="0" collapsed="false">
      <c r="A76" s="14" t="s">
        <v>380</v>
      </c>
      <c r="B76" s="15" t="s">
        <v>335</v>
      </c>
      <c r="C76" s="14" t="s">
        <v>87</v>
      </c>
      <c r="D76" s="14" t="s">
        <v>155</v>
      </c>
      <c r="E76" s="14" t="s">
        <v>381</v>
      </c>
      <c r="F76" s="15" t="s">
        <v>382</v>
      </c>
      <c r="G76" s="14" t="s">
        <v>173</v>
      </c>
      <c r="H76" s="15" t="s">
        <v>174</v>
      </c>
      <c r="I76" s="15" t="s">
        <v>123</v>
      </c>
      <c r="J76" s="15" t="n">
        <v>9</v>
      </c>
    </row>
    <row r="77" customFormat="false" ht="15" hidden="false" customHeight="false" outlineLevel="0" collapsed="false">
      <c r="A77" s="14" t="s">
        <v>383</v>
      </c>
      <c r="B77" s="15" t="s">
        <v>335</v>
      </c>
      <c r="C77" s="14" t="s">
        <v>87</v>
      </c>
      <c r="D77" s="14" t="s">
        <v>155</v>
      </c>
      <c r="E77" s="14" t="s">
        <v>202</v>
      </c>
      <c r="F77" s="15" t="s">
        <v>203</v>
      </c>
      <c r="G77" s="14" t="s">
        <v>204</v>
      </c>
      <c r="H77" s="15" t="s">
        <v>205</v>
      </c>
      <c r="I77" s="15" t="s">
        <v>228</v>
      </c>
      <c r="J77" s="15" t="n">
        <v>12</v>
      </c>
    </row>
    <row r="78" customFormat="false" ht="15" hidden="false" customHeight="false" outlineLevel="0" collapsed="false">
      <c r="A78" s="14" t="s">
        <v>384</v>
      </c>
      <c r="B78" s="15" t="s">
        <v>335</v>
      </c>
      <c r="C78" s="14" t="s">
        <v>87</v>
      </c>
      <c r="D78" s="14" t="s">
        <v>163</v>
      </c>
      <c r="E78" s="14" t="s">
        <v>385</v>
      </c>
      <c r="F78" s="15" t="s">
        <v>313</v>
      </c>
      <c r="G78" s="14" t="s">
        <v>103</v>
      </c>
      <c r="H78" s="15" t="s">
        <v>104</v>
      </c>
      <c r="I78" s="15" t="s">
        <v>135</v>
      </c>
      <c r="J78" s="15" t="n">
        <v>7</v>
      </c>
    </row>
    <row r="79" customFormat="false" ht="15" hidden="false" customHeight="false" outlineLevel="0" collapsed="false">
      <c r="A79" s="14" t="s">
        <v>386</v>
      </c>
      <c r="B79" s="15" t="s">
        <v>335</v>
      </c>
      <c r="C79" s="14" t="s">
        <v>87</v>
      </c>
      <c r="D79" s="14" t="s">
        <v>155</v>
      </c>
      <c r="E79" s="14" t="s">
        <v>387</v>
      </c>
      <c r="F79" s="15" t="s">
        <v>388</v>
      </c>
      <c r="G79" s="14" t="s">
        <v>168</v>
      </c>
      <c r="H79" s="15" t="s">
        <v>169</v>
      </c>
      <c r="I79" s="15" t="s">
        <v>141</v>
      </c>
      <c r="J79" s="15" t="n">
        <v>12</v>
      </c>
    </row>
    <row r="80" customFormat="false" ht="15" hidden="false" customHeight="false" outlineLevel="0" collapsed="false">
      <c r="A80" s="14" t="s">
        <v>389</v>
      </c>
      <c r="B80" s="15" t="s">
        <v>335</v>
      </c>
      <c r="C80" s="14" t="s">
        <v>87</v>
      </c>
      <c r="D80" s="14" t="s">
        <v>155</v>
      </c>
      <c r="E80" s="14" t="s">
        <v>164</v>
      </c>
      <c r="F80" s="15" t="s">
        <v>150</v>
      </c>
      <c r="G80" s="14" t="s">
        <v>139</v>
      </c>
      <c r="H80" s="15" t="s">
        <v>140</v>
      </c>
      <c r="I80" s="15" t="s">
        <v>147</v>
      </c>
      <c r="J80" s="15" t="n">
        <v>12</v>
      </c>
    </row>
    <row r="81" customFormat="false" ht="15" hidden="false" customHeight="false" outlineLevel="0" collapsed="false">
      <c r="A81" s="14" t="s">
        <v>390</v>
      </c>
      <c r="B81" s="15" t="s">
        <v>335</v>
      </c>
      <c r="C81" s="14" t="s">
        <v>87</v>
      </c>
      <c r="D81" s="14" t="s">
        <v>155</v>
      </c>
      <c r="E81" s="14" t="s">
        <v>391</v>
      </c>
      <c r="F81" s="15" t="s">
        <v>138</v>
      </c>
      <c r="G81" s="14" t="s">
        <v>151</v>
      </c>
      <c r="H81" s="15" t="s">
        <v>152</v>
      </c>
      <c r="I81" s="15" t="s">
        <v>153</v>
      </c>
      <c r="J81" s="15" t="n">
        <v>15</v>
      </c>
    </row>
    <row r="82" customFormat="false" ht="15" hidden="false" customHeight="false" outlineLevel="0" collapsed="false">
      <c r="A82" s="14" t="s">
        <v>392</v>
      </c>
      <c r="B82" s="15" t="s">
        <v>335</v>
      </c>
      <c r="C82" s="14" t="s">
        <v>163</v>
      </c>
      <c r="D82" s="14" t="s">
        <v>155</v>
      </c>
      <c r="E82" s="14" t="s">
        <v>196</v>
      </c>
      <c r="F82" s="15" t="s">
        <v>197</v>
      </c>
      <c r="G82" s="14" t="s">
        <v>198</v>
      </c>
      <c r="H82" s="15" t="s">
        <v>199</v>
      </c>
      <c r="I82" s="15" t="s">
        <v>92</v>
      </c>
      <c r="J82" s="15" t="n">
        <v>13</v>
      </c>
    </row>
    <row r="83" customFormat="false" ht="15" hidden="false" customHeight="false" outlineLevel="0" collapsed="false">
      <c r="A83" s="14" t="s">
        <v>393</v>
      </c>
      <c r="B83" s="15" t="s">
        <v>335</v>
      </c>
      <c r="C83" s="14" t="s">
        <v>163</v>
      </c>
      <c r="D83" s="14" t="s">
        <v>155</v>
      </c>
      <c r="E83" s="14" t="s">
        <v>320</v>
      </c>
      <c r="F83" s="15" t="s">
        <v>321</v>
      </c>
      <c r="G83" s="14" t="s">
        <v>209</v>
      </c>
      <c r="H83" s="15" t="s">
        <v>210</v>
      </c>
      <c r="I83" s="15" t="s">
        <v>105</v>
      </c>
      <c r="J83" s="15" t="n">
        <v>11</v>
      </c>
    </row>
    <row r="84" customFormat="false" ht="15" hidden="false" customHeight="false" outlineLevel="0" collapsed="false">
      <c r="A84" s="14" t="s">
        <v>394</v>
      </c>
      <c r="B84" s="15" t="s">
        <v>335</v>
      </c>
      <c r="C84" s="14" t="s">
        <v>163</v>
      </c>
      <c r="D84" s="14" t="s">
        <v>155</v>
      </c>
      <c r="E84" s="14" t="s">
        <v>395</v>
      </c>
      <c r="F84" s="15" t="s">
        <v>396</v>
      </c>
      <c r="G84" s="14" t="s">
        <v>397</v>
      </c>
      <c r="H84" s="15" t="s">
        <v>398</v>
      </c>
      <c r="I84" s="15" t="s">
        <v>117</v>
      </c>
      <c r="J84" s="15" t="n">
        <v>25</v>
      </c>
    </row>
    <row r="85" customFormat="false" ht="15" hidden="false" customHeight="false" outlineLevel="0" collapsed="false">
      <c r="A85" s="14" t="s">
        <v>399</v>
      </c>
      <c r="B85" s="15" t="s">
        <v>335</v>
      </c>
      <c r="C85" s="14" t="s">
        <v>163</v>
      </c>
      <c r="D85" s="14" t="s">
        <v>155</v>
      </c>
      <c r="E85" s="14" t="s">
        <v>400</v>
      </c>
      <c r="F85" s="15" t="s">
        <v>313</v>
      </c>
      <c r="G85" s="14" t="s">
        <v>103</v>
      </c>
      <c r="H85" s="15" t="s">
        <v>104</v>
      </c>
      <c r="I85" s="15" t="s">
        <v>135</v>
      </c>
      <c r="J85" s="15" t="n">
        <v>7</v>
      </c>
    </row>
    <row r="86" customFormat="false" ht="15" hidden="false" customHeight="false" outlineLevel="0" collapsed="false">
      <c r="A86" s="14" t="s">
        <v>401</v>
      </c>
      <c r="B86" s="15" t="s">
        <v>335</v>
      </c>
      <c r="C86" s="14" t="s">
        <v>155</v>
      </c>
      <c r="D86" s="14" t="s">
        <v>195</v>
      </c>
      <c r="E86" s="14" t="s">
        <v>188</v>
      </c>
      <c r="F86" s="15" t="s">
        <v>189</v>
      </c>
      <c r="G86" s="14" t="s">
        <v>190</v>
      </c>
      <c r="H86" s="15" t="s">
        <v>191</v>
      </c>
      <c r="I86" s="15" t="s">
        <v>92</v>
      </c>
      <c r="J86" s="15" t="n">
        <v>20</v>
      </c>
    </row>
    <row r="87" customFormat="false" ht="15" hidden="false" customHeight="false" outlineLevel="0" collapsed="false">
      <c r="A87" s="14" t="s">
        <v>402</v>
      </c>
      <c r="B87" s="15" t="s">
        <v>335</v>
      </c>
      <c r="C87" s="14" t="s">
        <v>155</v>
      </c>
      <c r="D87" s="14" t="s">
        <v>201</v>
      </c>
      <c r="E87" s="14" t="s">
        <v>223</v>
      </c>
      <c r="F87" s="15" t="s">
        <v>224</v>
      </c>
      <c r="G87" s="14" t="s">
        <v>225</v>
      </c>
      <c r="H87" s="15" t="s">
        <v>226</v>
      </c>
      <c r="I87" s="15" t="s">
        <v>99</v>
      </c>
      <c r="J87" s="15" t="n">
        <v>8</v>
      </c>
    </row>
    <row r="88" customFormat="false" ht="15" hidden="false" customHeight="false" outlineLevel="0" collapsed="false">
      <c r="A88" s="14" t="s">
        <v>403</v>
      </c>
      <c r="B88" s="15" t="s">
        <v>335</v>
      </c>
      <c r="C88" s="14" t="s">
        <v>155</v>
      </c>
      <c r="D88" s="14" t="s">
        <v>201</v>
      </c>
      <c r="E88" s="14" t="s">
        <v>404</v>
      </c>
      <c r="F88" s="15" t="s">
        <v>405</v>
      </c>
      <c r="G88" s="14" t="s">
        <v>406</v>
      </c>
      <c r="H88" s="15" t="s">
        <v>407</v>
      </c>
      <c r="I88" s="15" t="s">
        <v>214</v>
      </c>
      <c r="J88" s="15" t="n">
        <v>22</v>
      </c>
    </row>
    <row r="89" customFormat="false" ht="15" hidden="false" customHeight="false" outlineLevel="0" collapsed="false">
      <c r="A89" s="14" t="s">
        <v>408</v>
      </c>
      <c r="B89" s="15" t="s">
        <v>335</v>
      </c>
      <c r="C89" s="14" t="s">
        <v>155</v>
      </c>
      <c r="D89" s="14" t="s">
        <v>201</v>
      </c>
      <c r="E89" s="14" t="s">
        <v>302</v>
      </c>
      <c r="F89" s="15" t="s">
        <v>303</v>
      </c>
      <c r="G89" s="14" t="s">
        <v>304</v>
      </c>
      <c r="H89" s="15" t="s">
        <v>305</v>
      </c>
      <c r="I89" s="15" t="s">
        <v>111</v>
      </c>
      <c r="J89" s="15" t="n">
        <v>9</v>
      </c>
    </row>
    <row r="90" customFormat="false" ht="15" hidden="false" customHeight="false" outlineLevel="0" collapsed="false">
      <c r="A90" s="14" t="s">
        <v>409</v>
      </c>
      <c r="B90" s="15" t="s">
        <v>335</v>
      </c>
      <c r="C90" s="14" t="s">
        <v>155</v>
      </c>
      <c r="D90" s="14" t="s">
        <v>195</v>
      </c>
      <c r="E90" s="14" t="s">
        <v>410</v>
      </c>
      <c r="F90" s="15" t="s">
        <v>411</v>
      </c>
      <c r="G90" s="14" t="s">
        <v>115</v>
      </c>
      <c r="H90" s="15" t="s">
        <v>116</v>
      </c>
      <c r="I90" s="15" t="s">
        <v>412</v>
      </c>
      <c r="J90" s="15" t="n">
        <v>32</v>
      </c>
    </row>
    <row r="91" customFormat="false" ht="15" hidden="false" customHeight="false" outlineLevel="0" collapsed="false">
      <c r="A91" s="14" t="s">
        <v>413</v>
      </c>
      <c r="B91" s="15" t="s">
        <v>335</v>
      </c>
      <c r="C91" s="14" t="s">
        <v>155</v>
      </c>
      <c r="D91" s="14" t="s">
        <v>201</v>
      </c>
      <c r="E91" s="14" t="s">
        <v>414</v>
      </c>
      <c r="F91" s="15" t="s">
        <v>415</v>
      </c>
      <c r="G91" s="14" t="s">
        <v>397</v>
      </c>
      <c r="H91" s="15" t="s">
        <v>398</v>
      </c>
      <c r="I91" s="15" t="s">
        <v>129</v>
      </c>
      <c r="J91" s="15" t="n">
        <v>11</v>
      </c>
    </row>
    <row r="92" customFormat="false" ht="15" hidden="false" customHeight="false" outlineLevel="0" collapsed="false">
      <c r="A92" s="14" t="s">
        <v>416</v>
      </c>
      <c r="B92" s="15" t="s">
        <v>335</v>
      </c>
      <c r="C92" s="14" t="s">
        <v>155</v>
      </c>
      <c r="D92" s="14" t="s">
        <v>201</v>
      </c>
      <c r="E92" s="14" t="s">
        <v>417</v>
      </c>
      <c r="F92" s="15" t="s">
        <v>203</v>
      </c>
      <c r="G92" s="14" t="s">
        <v>204</v>
      </c>
      <c r="H92" s="15" t="s">
        <v>205</v>
      </c>
      <c r="I92" s="15" t="s">
        <v>228</v>
      </c>
      <c r="J92" s="15" t="n">
        <v>10</v>
      </c>
    </row>
    <row r="93" customFormat="false" ht="15" hidden="false" customHeight="false" outlineLevel="0" collapsed="false">
      <c r="A93" s="14" t="s">
        <v>418</v>
      </c>
      <c r="B93" s="15" t="s">
        <v>335</v>
      </c>
      <c r="C93" s="14" t="s">
        <v>155</v>
      </c>
      <c r="D93" s="14" t="s">
        <v>201</v>
      </c>
      <c r="E93" s="14" t="s">
        <v>171</v>
      </c>
      <c r="F93" s="15" t="s">
        <v>172</v>
      </c>
      <c r="G93" s="14" t="s">
        <v>173</v>
      </c>
      <c r="H93" s="15" t="s">
        <v>174</v>
      </c>
      <c r="I93" s="15" t="s">
        <v>265</v>
      </c>
      <c r="J93" s="15" t="n">
        <v>10</v>
      </c>
    </row>
    <row r="94" customFormat="false" ht="15" hidden="false" customHeight="false" outlineLevel="0" collapsed="false">
      <c r="A94" s="14" t="s">
        <v>419</v>
      </c>
      <c r="B94" s="15" t="s">
        <v>335</v>
      </c>
      <c r="C94" s="14" t="s">
        <v>155</v>
      </c>
      <c r="D94" s="14" t="s">
        <v>201</v>
      </c>
      <c r="E94" s="14" t="s">
        <v>420</v>
      </c>
      <c r="F94" s="15" t="s">
        <v>421</v>
      </c>
      <c r="G94" s="14" t="s">
        <v>103</v>
      </c>
      <c r="H94" s="15" t="s">
        <v>104</v>
      </c>
      <c r="I94" s="15" t="s">
        <v>135</v>
      </c>
      <c r="J94" s="15" t="n">
        <v>15</v>
      </c>
    </row>
    <row r="95" customFormat="false" ht="15" hidden="false" customHeight="false" outlineLevel="0" collapsed="false">
      <c r="A95" s="14" t="s">
        <v>422</v>
      </c>
      <c r="B95" s="15" t="s">
        <v>335</v>
      </c>
      <c r="C95" s="14" t="s">
        <v>155</v>
      </c>
      <c r="D95" s="14" t="s">
        <v>201</v>
      </c>
      <c r="E95" s="14" t="s">
        <v>423</v>
      </c>
      <c r="F95" s="15" t="s">
        <v>424</v>
      </c>
      <c r="G95" s="14" t="s">
        <v>168</v>
      </c>
      <c r="H95" s="15" t="s">
        <v>169</v>
      </c>
      <c r="I95" s="15" t="s">
        <v>141</v>
      </c>
      <c r="J95" s="15" t="n">
        <v>13</v>
      </c>
    </row>
    <row r="96" customFormat="false" ht="15" hidden="false" customHeight="false" outlineLevel="0" collapsed="false">
      <c r="A96" s="14" t="s">
        <v>425</v>
      </c>
      <c r="B96" s="15" t="s">
        <v>335</v>
      </c>
      <c r="C96" s="14" t="s">
        <v>155</v>
      </c>
      <c r="D96" s="14" t="s">
        <v>201</v>
      </c>
      <c r="E96" s="14" t="s">
        <v>426</v>
      </c>
      <c r="F96" s="15" t="s">
        <v>167</v>
      </c>
      <c r="G96" s="14" t="s">
        <v>145</v>
      </c>
      <c r="H96" s="15" t="s">
        <v>146</v>
      </c>
      <c r="I96" s="15" t="s">
        <v>147</v>
      </c>
      <c r="J96" s="15" t="n">
        <v>9</v>
      </c>
    </row>
    <row r="97" customFormat="false" ht="15" hidden="false" customHeight="false" outlineLevel="0" collapsed="false">
      <c r="A97" s="14" t="s">
        <v>427</v>
      </c>
      <c r="B97" s="15" t="s">
        <v>335</v>
      </c>
      <c r="C97" s="14" t="s">
        <v>155</v>
      </c>
      <c r="D97" s="14" t="s">
        <v>201</v>
      </c>
      <c r="E97" s="14" t="s">
        <v>428</v>
      </c>
      <c r="F97" s="15" t="s">
        <v>150</v>
      </c>
      <c r="G97" s="14" t="s">
        <v>139</v>
      </c>
      <c r="H97" s="15" t="s">
        <v>140</v>
      </c>
      <c r="I97" s="15" t="s">
        <v>153</v>
      </c>
      <c r="J97" s="15" t="n">
        <v>12</v>
      </c>
    </row>
    <row r="98" customFormat="false" ht="15" hidden="false" customHeight="false" outlineLevel="0" collapsed="false">
      <c r="A98" s="14" t="s">
        <v>429</v>
      </c>
      <c r="B98" s="15" t="s">
        <v>335</v>
      </c>
      <c r="C98" s="14" t="s">
        <v>155</v>
      </c>
      <c r="D98" s="14" t="s">
        <v>201</v>
      </c>
      <c r="E98" s="14" t="s">
        <v>249</v>
      </c>
      <c r="F98" s="15" t="s">
        <v>177</v>
      </c>
      <c r="G98" s="14" t="s">
        <v>178</v>
      </c>
      <c r="H98" s="15" t="s">
        <v>179</v>
      </c>
      <c r="I98" s="15" t="s">
        <v>430</v>
      </c>
      <c r="J98" s="15" t="n">
        <v>20</v>
      </c>
    </row>
    <row r="99" customFormat="false" ht="15" hidden="false" customHeight="false" outlineLevel="0" collapsed="false">
      <c r="A99" s="14" t="s">
        <v>431</v>
      </c>
      <c r="B99" s="15" t="s">
        <v>335</v>
      </c>
      <c r="C99" s="14" t="s">
        <v>195</v>
      </c>
      <c r="D99" s="14" t="s">
        <v>201</v>
      </c>
      <c r="E99" s="14" t="s">
        <v>232</v>
      </c>
      <c r="F99" s="15" t="s">
        <v>197</v>
      </c>
      <c r="G99" s="14" t="s">
        <v>233</v>
      </c>
      <c r="H99" s="15" t="s">
        <v>234</v>
      </c>
      <c r="I99" s="15" t="s">
        <v>92</v>
      </c>
      <c r="J99" s="15" t="n">
        <v>12</v>
      </c>
    </row>
    <row r="100" customFormat="false" ht="15" hidden="false" customHeight="false" outlineLevel="0" collapsed="false">
      <c r="A100" s="14" t="s">
        <v>432</v>
      </c>
      <c r="B100" s="15" t="s">
        <v>335</v>
      </c>
      <c r="C100" s="14" t="s">
        <v>237</v>
      </c>
      <c r="D100" s="14" t="s">
        <v>238</v>
      </c>
      <c r="E100" s="14" t="s">
        <v>270</v>
      </c>
      <c r="F100" s="15" t="s">
        <v>217</v>
      </c>
      <c r="G100" s="14" t="s">
        <v>271</v>
      </c>
      <c r="H100" s="15" t="s">
        <v>272</v>
      </c>
      <c r="I100" s="15" t="s">
        <v>92</v>
      </c>
      <c r="J100" s="15" t="n">
        <v>13</v>
      </c>
    </row>
    <row r="101" customFormat="false" ht="15" hidden="false" customHeight="false" outlineLevel="0" collapsed="false">
      <c r="A101" s="14" t="s">
        <v>433</v>
      </c>
      <c r="B101" s="15" t="s">
        <v>335</v>
      </c>
      <c r="C101" s="14" t="s">
        <v>237</v>
      </c>
      <c r="D101" s="14" t="s">
        <v>238</v>
      </c>
      <c r="E101" s="14" t="s">
        <v>251</v>
      </c>
      <c r="F101" s="15" t="s">
        <v>252</v>
      </c>
      <c r="G101" s="14" t="s">
        <v>253</v>
      </c>
      <c r="H101" s="15" t="s">
        <v>254</v>
      </c>
      <c r="I101" s="15" t="s">
        <v>99</v>
      </c>
      <c r="J101" s="15" t="n">
        <v>10</v>
      </c>
    </row>
    <row r="102" customFormat="false" ht="15" hidden="false" customHeight="false" outlineLevel="0" collapsed="false">
      <c r="A102" s="14" t="s">
        <v>434</v>
      </c>
      <c r="B102" s="15" t="s">
        <v>335</v>
      </c>
      <c r="C102" s="14" t="s">
        <v>237</v>
      </c>
      <c r="D102" s="14" t="s">
        <v>238</v>
      </c>
      <c r="E102" s="14" t="s">
        <v>356</v>
      </c>
      <c r="F102" s="15" t="s">
        <v>262</v>
      </c>
      <c r="G102" s="14" t="s">
        <v>357</v>
      </c>
      <c r="H102" s="15" t="s">
        <v>358</v>
      </c>
      <c r="I102" s="15" t="s">
        <v>105</v>
      </c>
      <c r="J102" s="15" t="n">
        <v>12</v>
      </c>
    </row>
    <row r="103" customFormat="false" ht="15" hidden="false" customHeight="false" outlineLevel="0" collapsed="false">
      <c r="A103" s="14" t="s">
        <v>435</v>
      </c>
      <c r="B103" s="15" t="s">
        <v>335</v>
      </c>
      <c r="C103" s="14" t="s">
        <v>237</v>
      </c>
      <c r="D103" s="14" t="s">
        <v>238</v>
      </c>
      <c r="E103" s="14" t="s">
        <v>436</v>
      </c>
      <c r="F103" s="15" t="s">
        <v>437</v>
      </c>
      <c r="G103" s="14" t="s">
        <v>397</v>
      </c>
      <c r="H103" s="15" t="s">
        <v>398</v>
      </c>
      <c r="I103" s="15" t="s">
        <v>111</v>
      </c>
      <c r="J103" s="15" t="n">
        <v>22</v>
      </c>
    </row>
    <row r="104" customFormat="false" ht="15" hidden="false" customHeight="false" outlineLevel="0" collapsed="false">
      <c r="A104" s="14" t="s">
        <v>438</v>
      </c>
      <c r="B104" s="15" t="s">
        <v>335</v>
      </c>
      <c r="C104" s="14" t="s">
        <v>237</v>
      </c>
      <c r="D104" s="14" t="s">
        <v>274</v>
      </c>
      <c r="E104" s="14" t="s">
        <v>439</v>
      </c>
      <c r="F104" s="15" t="s">
        <v>361</v>
      </c>
      <c r="G104" s="14" t="s">
        <v>246</v>
      </c>
      <c r="H104" s="15" t="s">
        <v>247</v>
      </c>
      <c r="I104" s="15" t="s">
        <v>300</v>
      </c>
      <c r="J104" s="15" t="n">
        <v>7</v>
      </c>
    </row>
    <row r="105" customFormat="false" ht="15" hidden="false" customHeight="false" outlineLevel="0" collapsed="false">
      <c r="A105" s="14" t="s">
        <v>440</v>
      </c>
      <c r="B105" s="15" t="s">
        <v>335</v>
      </c>
      <c r="C105" s="14" t="s">
        <v>237</v>
      </c>
      <c r="D105" s="14" t="s">
        <v>238</v>
      </c>
      <c r="E105" s="14" t="s">
        <v>441</v>
      </c>
      <c r="F105" s="15" t="s">
        <v>150</v>
      </c>
      <c r="G105" s="14" t="s">
        <v>287</v>
      </c>
      <c r="H105" s="15" t="s">
        <v>288</v>
      </c>
      <c r="I105" s="15" t="s">
        <v>129</v>
      </c>
      <c r="J105" s="15" t="n">
        <v>8</v>
      </c>
    </row>
    <row r="106" customFormat="false" ht="15" hidden="false" customHeight="false" outlineLevel="0" collapsed="false">
      <c r="A106" s="14" t="s">
        <v>442</v>
      </c>
      <c r="B106" s="15" t="s">
        <v>335</v>
      </c>
      <c r="C106" s="14" t="s">
        <v>237</v>
      </c>
      <c r="D106" s="14" t="s">
        <v>238</v>
      </c>
      <c r="E106" s="14" t="s">
        <v>95</v>
      </c>
      <c r="F106" s="15" t="s">
        <v>96</v>
      </c>
      <c r="G106" s="14" t="s">
        <v>332</v>
      </c>
      <c r="H106" s="15" t="s">
        <v>333</v>
      </c>
      <c r="I106" s="15" t="s">
        <v>135</v>
      </c>
      <c r="J106" s="15" t="n">
        <v>11</v>
      </c>
    </row>
    <row r="107" customFormat="false" ht="15" hidden="false" customHeight="false" outlineLevel="0" collapsed="false">
      <c r="A107" s="14" t="s">
        <v>443</v>
      </c>
      <c r="B107" s="15" t="s">
        <v>335</v>
      </c>
      <c r="C107" s="14" t="s">
        <v>237</v>
      </c>
      <c r="D107" s="14" t="s">
        <v>238</v>
      </c>
      <c r="E107" s="14" t="s">
        <v>444</v>
      </c>
      <c r="F107" s="15" t="s">
        <v>316</v>
      </c>
      <c r="G107" s="14" t="s">
        <v>168</v>
      </c>
      <c r="H107" s="15" t="s">
        <v>169</v>
      </c>
      <c r="I107" s="15" t="s">
        <v>141</v>
      </c>
      <c r="J107" s="15" t="n">
        <v>12</v>
      </c>
    </row>
    <row r="108" customFormat="false" ht="15" hidden="false" customHeight="false" outlineLevel="0" collapsed="false">
      <c r="A108" s="14" t="s">
        <v>445</v>
      </c>
      <c r="B108" s="15" t="s">
        <v>335</v>
      </c>
      <c r="C108" s="14" t="s">
        <v>237</v>
      </c>
      <c r="D108" s="14" t="s">
        <v>238</v>
      </c>
      <c r="E108" s="14" t="s">
        <v>446</v>
      </c>
      <c r="F108" s="15" t="s">
        <v>167</v>
      </c>
      <c r="G108" s="14" t="s">
        <v>103</v>
      </c>
      <c r="H108" s="15" t="s">
        <v>104</v>
      </c>
      <c r="I108" s="15" t="s">
        <v>153</v>
      </c>
      <c r="J108" s="15" t="n">
        <v>10</v>
      </c>
    </row>
    <row r="109" customFormat="false" ht="15" hidden="false" customHeight="false" outlineLevel="0" collapsed="false">
      <c r="A109" s="14" t="s">
        <v>447</v>
      </c>
      <c r="B109" s="15" t="s">
        <v>335</v>
      </c>
      <c r="C109" s="14" t="s">
        <v>238</v>
      </c>
      <c r="D109" s="14" t="s">
        <v>279</v>
      </c>
      <c r="E109" s="14" t="s">
        <v>448</v>
      </c>
      <c r="F109" s="15" t="s">
        <v>281</v>
      </c>
      <c r="G109" s="14" t="s">
        <v>271</v>
      </c>
      <c r="H109" s="15" t="s">
        <v>272</v>
      </c>
      <c r="I109" s="15" t="s">
        <v>158</v>
      </c>
      <c r="J109" s="15" t="n">
        <v>10</v>
      </c>
    </row>
    <row r="110" customFormat="false" ht="15" hidden="false" customHeight="false" outlineLevel="0" collapsed="false">
      <c r="A110" s="14" t="s">
        <v>449</v>
      </c>
      <c r="B110" s="15" t="s">
        <v>335</v>
      </c>
      <c r="C110" s="14" t="s">
        <v>238</v>
      </c>
      <c r="D110" s="14" t="s">
        <v>293</v>
      </c>
      <c r="E110" s="14" t="s">
        <v>244</v>
      </c>
      <c r="F110" s="15" t="s">
        <v>245</v>
      </c>
      <c r="G110" s="14" t="s">
        <v>246</v>
      </c>
      <c r="H110" s="15" t="s">
        <v>247</v>
      </c>
      <c r="I110" s="15" t="s">
        <v>92</v>
      </c>
      <c r="J110" s="15" t="n">
        <v>10</v>
      </c>
    </row>
    <row r="111" customFormat="false" ht="15" hidden="false" customHeight="false" outlineLevel="0" collapsed="false">
      <c r="A111" s="14" t="s">
        <v>450</v>
      </c>
      <c r="B111" s="15" t="s">
        <v>335</v>
      </c>
      <c r="C111" s="14" t="s">
        <v>238</v>
      </c>
      <c r="D111" s="14" t="s">
        <v>279</v>
      </c>
      <c r="E111" s="14" t="s">
        <v>451</v>
      </c>
      <c r="F111" s="15" t="s">
        <v>257</v>
      </c>
      <c r="G111" s="14" t="s">
        <v>258</v>
      </c>
      <c r="H111" s="15" t="s">
        <v>259</v>
      </c>
      <c r="I111" s="15" t="s">
        <v>99</v>
      </c>
      <c r="J111" s="15" t="n">
        <v>10</v>
      </c>
    </row>
    <row r="112" customFormat="false" ht="15" hidden="false" customHeight="false" outlineLevel="0" collapsed="false">
      <c r="A112" s="14" t="s">
        <v>452</v>
      </c>
      <c r="B112" s="15" t="s">
        <v>335</v>
      </c>
      <c r="C112" s="14" t="s">
        <v>238</v>
      </c>
      <c r="D112" s="14" t="s">
        <v>279</v>
      </c>
      <c r="E112" s="14" t="s">
        <v>453</v>
      </c>
      <c r="F112" s="15" t="s">
        <v>213</v>
      </c>
      <c r="G112" s="14" t="s">
        <v>190</v>
      </c>
      <c r="H112" s="15" t="s">
        <v>191</v>
      </c>
      <c r="I112" s="15" t="s">
        <v>214</v>
      </c>
      <c r="J112" s="15" t="n">
        <v>12</v>
      </c>
    </row>
    <row r="113" customFormat="false" ht="15" hidden="false" customHeight="false" outlineLevel="0" collapsed="false">
      <c r="A113" s="14" t="s">
        <v>454</v>
      </c>
      <c r="B113" s="15" t="s">
        <v>335</v>
      </c>
      <c r="C113" s="14" t="s">
        <v>238</v>
      </c>
      <c r="D113" s="14" t="s">
        <v>279</v>
      </c>
      <c r="E113" s="14" t="s">
        <v>131</v>
      </c>
      <c r="F113" s="15" t="s">
        <v>132</v>
      </c>
      <c r="G113" s="14" t="s">
        <v>133</v>
      </c>
      <c r="H113" s="15" t="s">
        <v>134</v>
      </c>
      <c r="I113" s="15" t="s">
        <v>111</v>
      </c>
      <c r="J113" s="15" t="n">
        <v>15</v>
      </c>
    </row>
    <row r="114" customFormat="false" ht="15" hidden="false" customHeight="false" outlineLevel="0" collapsed="false">
      <c r="A114" s="14" t="s">
        <v>455</v>
      </c>
      <c r="B114" s="15" t="s">
        <v>335</v>
      </c>
      <c r="C114" s="14" t="s">
        <v>238</v>
      </c>
      <c r="D114" s="14" t="s">
        <v>279</v>
      </c>
      <c r="E114" s="14" t="s">
        <v>456</v>
      </c>
      <c r="F114" s="15" t="s">
        <v>138</v>
      </c>
      <c r="G114" s="14" t="s">
        <v>241</v>
      </c>
      <c r="H114" s="15" t="s">
        <v>242</v>
      </c>
      <c r="I114" s="15" t="s">
        <v>412</v>
      </c>
      <c r="J114" s="15" t="n">
        <v>11</v>
      </c>
    </row>
    <row r="115" customFormat="false" ht="15" hidden="false" customHeight="false" outlineLevel="0" collapsed="false">
      <c r="A115" s="14" t="s">
        <v>457</v>
      </c>
      <c r="B115" s="15" t="s">
        <v>335</v>
      </c>
      <c r="C115" s="14" t="s">
        <v>238</v>
      </c>
      <c r="D115" s="14" t="s">
        <v>279</v>
      </c>
      <c r="E115" s="14" t="s">
        <v>458</v>
      </c>
      <c r="F115" s="15" t="s">
        <v>203</v>
      </c>
      <c r="G115" s="14" t="s">
        <v>178</v>
      </c>
      <c r="H115" s="15" t="s">
        <v>179</v>
      </c>
      <c r="I115" s="15" t="s">
        <v>228</v>
      </c>
      <c r="J115" s="15" t="n">
        <v>10</v>
      </c>
    </row>
    <row r="116" customFormat="false" ht="15" hidden="false" customHeight="false" outlineLevel="0" collapsed="false">
      <c r="A116" s="14" t="s">
        <v>459</v>
      </c>
      <c r="B116" s="15" t="s">
        <v>335</v>
      </c>
      <c r="C116" s="14" t="s">
        <v>238</v>
      </c>
      <c r="D116" s="14" t="s">
        <v>279</v>
      </c>
      <c r="E116" s="14" t="s">
        <v>460</v>
      </c>
      <c r="F116" s="15" t="s">
        <v>461</v>
      </c>
      <c r="G116" s="14" t="s">
        <v>462</v>
      </c>
      <c r="H116" s="15" t="s">
        <v>463</v>
      </c>
      <c r="I116" s="15" t="s">
        <v>464</v>
      </c>
      <c r="J116" s="15" t="n">
        <v>7</v>
      </c>
    </row>
    <row r="117" customFormat="false" ht="15" hidden="false" customHeight="false" outlineLevel="0" collapsed="false">
      <c r="A117" s="14" t="s">
        <v>465</v>
      </c>
      <c r="B117" s="15" t="s">
        <v>335</v>
      </c>
      <c r="C117" s="14" t="s">
        <v>238</v>
      </c>
      <c r="D117" s="14" t="s">
        <v>279</v>
      </c>
      <c r="E117" s="14" t="s">
        <v>315</v>
      </c>
      <c r="F117" s="15" t="s">
        <v>316</v>
      </c>
      <c r="G117" s="14" t="s">
        <v>317</v>
      </c>
      <c r="H117" s="15" t="s">
        <v>318</v>
      </c>
      <c r="I117" s="15" t="s">
        <v>466</v>
      </c>
      <c r="J117" s="15" t="n">
        <v>15</v>
      </c>
    </row>
    <row r="118" customFormat="false" ht="15" hidden="false" customHeight="false" outlineLevel="0" collapsed="false">
      <c r="A118" s="14" t="s">
        <v>467</v>
      </c>
      <c r="B118" s="15" t="s">
        <v>335</v>
      </c>
      <c r="C118" s="14" t="s">
        <v>279</v>
      </c>
      <c r="D118" s="14" t="s">
        <v>325</v>
      </c>
      <c r="E118" s="14" t="s">
        <v>468</v>
      </c>
      <c r="F118" s="15" t="s">
        <v>469</v>
      </c>
      <c r="G118" s="14" t="s">
        <v>332</v>
      </c>
      <c r="H118" s="15" t="s">
        <v>333</v>
      </c>
      <c r="I118" s="15" t="s">
        <v>328</v>
      </c>
      <c r="J118" s="15" t="n">
        <v>6</v>
      </c>
    </row>
    <row r="119" customFormat="false" ht="15" hidden="false" customHeight="false" outlineLevel="0" collapsed="false">
      <c r="A119" s="14" t="s">
        <v>470</v>
      </c>
      <c r="B119" s="15" t="s">
        <v>335</v>
      </c>
      <c r="C119" s="14" t="s">
        <v>325</v>
      </c>
      <c r="D119" s="14" t="s">
        <v>471</v>
      </c>
      <c r="E119" s="14" t="s">
        <v>472</v>
      </c>
      <c r="F119" s="15" t="s">
        <v>473</v>
      </c>
      <c r="G119" s="14" t="s">
        <v>332</v>
      </c>
      <c r="H119" s="15" t="s">
        <v>333</v>
      </c>
      <c r="I119" s="15" t="s">
        <v>328</v>
      </c>
      <c r="J119" s="15" t="n">
        <v>14</v>
      </c>
    </row>
    <row r="120" customFormat="false" ht="15" hidden="false" customHeight="false" outlineLevel="0" collapsed="false">
      <c r="A120" s="14" t="s">
        <v>474</v>
      </c>
      <c r="B120" s="15" t="s">
        <v>335</v>
      </c>
      <c r="C120" s="14" t="s">
        <v>471</v>
      </c>
      <c r="D120" s="14" t="s">
        <v>475</v>
      </c>
      <c r="E120" s="14" t="s">
        <v>330</v>
      </c>
      <c r="F120" s="15" t="s">
        <v>331</v>
      </c>
      <c r="G120" s="14" t="s">
        <v>332</v>
      </c>
      <c r="H120" s="15" t="s">
        <v>333</v>
      </c>
      <c r="I120" s="15" t="s">
        <v>328</v>
      </c>
      <c r="J120" s="15" t="n">
        <v>6</v>
      </c>
    </row>
    <row r="121" customFormat="false" ht="15" hidden="false" customHeight="false" outlineLevel="0" collapsed="false">
      <c r="A121" s="14" t="s">
        <v>476</v>
      </c>
      <c r="B121" s="15" t="s">
        <v>477</v>
      </c>
      <c r="C121" s="14" t="s">
        <v>86</v>
      </c>
      <c r="D121" s="14" t="s">
        <v>87</v>
      </c>
      <c r="E121" s="14" t="s">
        <v>343</v>
      </c>
      <c r="F121" s="15" t="s">
        <v>240</v>
      </c>
      <c r="G121" s="14" t="s">
        <v>173</v>
      </c>
      <c r="H121" s="15" t="s">
        <v>174</v>
      </c>
      <c r="I121" s="15" t="s">
        <v>158</v>
      </c>
      <c r="J121" s="15" t="n">
        <v>10</v>
      </c>
    </row>
    <row r="122" customFormat="false" ht="15" hidden="false" customHeight="false" outlineLevel="0" collapsed="false">
      <c r="A122" s="14" t="s">
        <v>478</v>
      </c>
      <c r="B122" s="15" t="s">
        <v>477</v>
      </c>
      <c r="C122" s="14" t="s">
        <v>86</v>
      </c>
      <c r="D122" s="14" t="s">
        <v>87</v>
      </c>
      <c r="E122" s="14" t="s">
        <v>479</v>
      </c>
      <c r="F122" s="15" t="s">
        <v>480</v>
      </c>
      <c r="G122" s="14" t="s">
        <v>190</v>
      </c>
      <c r="H122" s="15" t="s">
        <v>191</v>
      </c>
      <c r="I122" s="15" t="s">
        <v>92</v>
      </c>
      <c r="J122" s="15" t="n">
        <v>19</v>
      </c>
    </row>
    <row r="123" customFormat="false" ht="15" hidden="false" customHeight="false" outlineLevel="0" collapsed="false">
      <c r="A123" s="14" t="s">
        <v>481</v>
      </c>
      <c r="B123" s="15" t="s">
        <v>477</v>
      </c>
      <c r="C123" s="14" t="s">
        <v>86</v>
      </c>
      <c r="D123" s="14" t="s">
        <v>94</v>
      </c>
      <c r="E123" s="14" t="s">
        <v>364</v>
      </c>
      <c r="F123" s="15" t="s">
        <v>144</v>
      </c>
      <c r="G123" s="14" t="s">
        <v>145</v>
      </c>
      <c r="H123" s="15" t="s">
        <v>146</v>
      </c>
      <c r="I123" s="15" t="s">
        <v>99</v>
      </c>
      <c r="J123" s="15" t="n">
        <v>8</v>
      </c>
    </row>
    <row r="124" customFormat="false" ht="15" hidden="false" customHeight="false" outlineLevel="0" collapsed="false">
      <c r="A124" s="14" t="s">
        <v>482</v>
      </c>
      <c r="B124" s="15" t="s">
        <v>477</v>
      </c>
      <c r="C124" s="14" t="s">
        <v>86</v>
      </c>
      <c r="D124" s="14" t="s">
        <v>87</v>
      </c>
      <c r="E124" s="14" t="s">
        <v>483</v>
      </c>
      <c r="F124" s="15" t="s">
        <v>388</v>
      </c>
      <c r="G124" s="14" t="s">
        <v>357</v>
      </c>
      <c r="H124" s="15" t="s">
        <v>358</v>
      </c>
      <c r="I124" s="15" t="s">
        <v>105</v>
      </c>
      <c r="J124" s="15" t="n">
        <v>11</v>
      </c>
    </row>
    <row r="125" customFormat="false" ht="15" hidden="false" customHeight="false" outlineLevel="0" collapsed="false">
      <c r="A125" s="14" t="s">
        <v>484</v>
      </c>
      <c r="B125" s="15" t="s">
        <v>477</v>
      </c>
      <c r="C125" s="14" t="s">
        <v>86</v>
      </c>
      <c r="D125" s="14" t="s">
        <v>94</v>
      </c>
      <c r="E125" s="14" t="s">
        <v>349</v>
      </c>
      <c r="F125" s="15" t="s">
        <v>350</v>
      </c>
      <c r="G125" s="14" t="s">
        <v>351</v>
      </c>
      <c r="H125" s="15" t="s">
        <v>352</v>
      </c>
      <c r="I125" s="15" t="s">
        <v>214</v>
      </c>
      <c r="J125" s="15" t="n">
        <v>13</v>
      </c>
    </row>
    <row r="126" customFormat="false" ht="15" hidden="false" customHeight="false" outlineLevel="0" collapsed="false">
      <c r="A126" s="14" t="s">
        <v>485</v>
      </c>
      <c r="B126" s="15" t="s">
        <v>477</v>
      </c>
      <c r="C126" s="14" t="s">
        <v>86</v>
      </c>
      <c r="D126" s="14" t="s">
        <v>87</v>
      </c>
      <c r="E126" s="14" t="s">
        <v>95</v>
      </c>
      <c r="F126" s="15" t="s">
        <v>96</v>
      </c>
      <c r="G126" s="14" t="s">
        <v>97</v>
      </c>
      <c r="H126" s="15" t="s">
        <v>98</v>
      </c>
      <c r="I126" s="15" t="s">
        <v>486</v>
      </c>
      <c r="J126" s="15" t="n">
        <v>11</v>
      </c>
    </row>
    <row r="127" customFormat="false" ht="15" hidden="false" customHeight="false" outlineLevel="0" collapsed="false">
      <c r="A127" s="14" t="s">
        <v>487</v>
      </c>
      <c r="B127" s="15" t="s">
        <v>477</v>
      </c>
      <c r="C127" s="14" t="s">
        <v>86</v>
      </c>
      <c r="D127" s="14" t="s">
        <v>87</v>
      </c>
      <c r="E127" s="14" t="s">
        <v>488</v>
      </c>
      <c r="F127" s="15" t="s">
        <v>126</v>
      </c>
      <c r="G127" s="14" t="s">
        <v>127</v>
      </c>
      <c r="H127" s="15" t="s">
        <v>128</v>
      </c>
      <c r="I127" s="15" t="s">
        <v>129</v>
      </c>
      <c r="J127" s="15" t="n">
        <v>13</v>
      </c>
    </row>
    <row r="128" customFormat="false" ht="15" hidden="false" customHeight="false" outlineLevel="0" collapsed="false">
      <c r="A128" s="14" t="s">
        <v>489</v>
      </c>
      <c r="B128" s="15" t="s">
        <v>477</v>
      </c>
      <c r="C128" s="14" t="s">
        <v>86</v>
      </c>
      <c r="D128" s="14" t="s">
        <v>87</v>
      </c>
      <c r="E128" s="14" t="s">
        <v>490</v>
      </c>
      <c r="F128" s="15" t="s">
        <v>138</v>
      </c>
      <c r="G128" s="14" t="s">
        <v>139</v>
      </c>
      <c r="H128" s="15" t="s">
        <v>140</v>
      </c>
      <c r="I128" s="15" t="s">
        <v>141</v>
      </c>
      <c r="J128" s="15" t="n">
        <v>7</v>
      </c>
    </row>
    <row r="129" customFormat="false" ht="15" hidden="false" customHeight="false" outlineLevel="0" collapsed="false">
      <c r="A129" s="14" t="s">
        <v>491</v>
      </c>
      <c r="B129" s="15" t="s">
        <v>477</v>
      </c>
      <c r="C129" s="14" t="s">
        <v>86</v>
      </c>
      <c r="D129" s="14" t="s">
        <v>87</v>
      </c>
      <c r="E129" s="14" t="s">
        <v>166</v>
      </c>
      <c r="F129" s="15" t="s">
        <v>167</v>
      </c>
      <c r="G129" s="14" t="s">
        <v>168</v>
      </c>
      <c r="H129" s="15" t="s">
        <v>169</v>
      </c>
      <c r="I129" s="15" t="s">
        <v>147</v>
      </c>
      <c r="J129" s="15" t="n">
        <v>9</v>
      </c>
    </row>
    <row r="130" customFormat="false" ht="15" hidden="false" customHeight="false" outlineLevel="0" collapsed="false">
      <c r="A130" s="14" t="s">
        <v>492</v>
      </c>
      <c r="B130" s="15" t="s">
        <v>477</v>
      </c>
      <c r="C130" s="14" t="s">
        <v>94</v>
      </c>
      <c r="D130" s="14" t="s">
        <v>87</v>
      </c>
      <c r="E130" s="14" t="s">
        <v>249</v>
      </c>
      <c r="F130" s="15" t="s">
        <v>177</v>
      </c>
      <c r="G130" s="14" t="s">
        <v>178</v>
      </c>
      <c r="H130" s="15" t="s">
        <v>179</v>
      </c>
      <c r="I130" s="15" t="s">
        <v>214</v>
      </c>
      <c r="J130" s="15" t="n">
        <v>20</v>
      </c>
    </row>
    <row r="131" customFormat="false" ht="15" hidden="false" customHeight="false" outlineLevel="0" collapsed="false">
      <c r="A131" s="14" t="s">
        <v>493</v>
      </c>
      <c r="B131" s="15" t="s">
        <v>477</v>
      </c>
      <c r="C131" s="14" t="s">
        <v>94</v>
      </c>
      <c r="D131" s="14" t="s">
        <v>87</v>
      </c>
      <c r="E131" s="14" t="s">
        <v>196</v>
      </c>
      <c r="F131" s="15" t="s">
        <v>197</v>
      </c>
      <c r="G131" s="14" t="s">
        <v>198</v>
      </c>
      <c r="H131" s="15" t="s">
        <v>199</v>
      </c>
      <c r="I131" s="15" t="s">
        <v>111</v>
      </c>
      <c r="J131" s="15" t="n">
        <v>13</v>
      </c>
    </row>
    <row r="132" customFormat="false" ht="15" hidden="false" customHeight="false" outlineLevel="0" collapsed="false">
      <c r="A132" s="14" t="s">
        <v>494</v>
      </c>
      <c r="B132" s="15" t="s">
        <v>477</v>
      </c>
      <c r="C132" s="14" t="s">
        <v>94</v>
      </c>
      <c r="D132" s="14" t="s">
        <v>87</v>
      </c>
      <c r="E132" s="14" t="s">
        <v>495</v>
      </c>
      <c r="F132" s="15" t="s">
        <v>350</v>
      </c>
      <c r="G132" s="14" t="s">
        <v>351</v>
      </c>
      <c r="H132" s="15" t="s">
        <v>352</v>
      </c>
      <c r="I132" s="15" t="s">
        <v>135</v>
      </c>
      <c r="J132" s="15" t="n">
        <v>11</v>
      </c>
    </row>
    <row r="133" customFormat="false" ht="15" hidden="false" customHeight="false" outlineLevel="0" collapsed="false">
      <c r="A133" s="14" t="s">
        <v>496</v>
      </c>
      <c r="B133" s="15" t="s">
        <v>477</v>
      </c>
      <c r="C133" s="14" t="s">
        <v>87</v>
      </c>
      <c r="D133" s="14" t="s">
        <v>155</v>
      </c>
      <c r="E133" s="14" t="s">
        <v>497</v>
      </c>
      <c r="F133" s="15" t="s">
        <v>240</v>
      </c>
      <c r="G133" s="14" t="s">
        <v>351</v>
      </c>
      <c r="H133" s="15" t="s">
        <v>352</v>
      </c>
      <c r="I133" s="15" t="s">
        <v>158</v>
      </c>
      <c r="J133" s="15" t="n">
        <v>10</v>
      </c>
    </row>
    <row r="134" customFormat="false" ht="15" hidden="false" customHeight="false" outlineLevel="0" collapsed="false">
      <c r="A134" s="14" t="s">
        <v>498</v>
      </c>
      <c r="B134" s="15" t="s">
        <v>477</v>
      </c>
      <c r="C134" s="14" t="s">
        <v>87</v>
      </c>
      <c r="D134" s="14" t="s">
        <v>155</v>
      </c>
      <c r="E134" s="14" t="s">
        <v>499</v>
      </c>
      <c r="F134" s="15" t="s">
        <v>382</v>
      </c>
      <c r="G134" s="14" t="s">
        <v>109</v>
      </c>
      <c r="H134" s="15" t="s">
        <v>110</v>
      </c>
      <c r="I134" s="15" t="s">
        <v>92</v>
      </c>
      <c r="J134" s="15" t="n">
        <v>10</v>
      </c>
    </row>
    <row r="135" customFormat="false" ht="15" hidden="false" customHeight="false" outlineLevel="0" collapsed="false">
      <c r="A135" s="14" t="s">
        <v>500</v>
      </c>
      <c r="B135" s="15" t="s">
        <v>477</v>
      </c>
      <c r="C135" s="14" t="s">
        <v>87</v>
      </c>
      <c r="D135" s="14" t="s">
        <v>155</v>
      </c>
      <c r="E135" s="14" t="s">
        <v>137</v>
      </c>
      <c r="F135" s="15" t="s">
        <v>138</v>
      </c>
      <c r="G135" s="14" t="s">
        <v>139</v>
      </c>
      <c r="H135" s="15" t="s">
        <v>140</v>
      </c>
      <c r="I135" s="15" t="s">
        <v>105</v>
      </c>
      <c r="J135" s="15" t="n">
        <v>7</v>
      </c>
    </row>
    <row r="136" customFormat="false" ht="15" hidden="false" customHeight="false" outlineLevel="0" collapsed="false">
      <c r="A136" s="14" t="s">
        <v>501</v>
      </c>
      <c r="B136" s="15" t="s">
        <v>477</v>
      </c>
      <c r="C136" s="14" t="s">
        <v>87</v>
      </c>
      <c r="D136" s="14" t="s">
        <v>155</v>
      </c>
      <c r="E136" s="14" t="s">
        <v>372</v>
      </c>
      <c r="F136" s="15" t="s">
        <v>373</v>
      </c>
      <c r="G136" s="14" t="s">
        <v>296</v>
      </c>
      <c r="H136" s="15" t="s">
        <v>297</v>
      </c>
      <c r="I136" s="15" t="s">
        <v>214</v>
      </c>
      <c r="J136" s="15" t="n">
        <v>13</v>
      </c>
    </row>
    <row r="137" customFormat="false" ht="15" hidden="false" customHeight="false" outlineLevel="0" collapsed="false">
      <c r="A137" s="14" t="s">
        <v>502</v>
      </c>
      <c r="B137" s="15" t="s">
        <v>477</v>
      </c>
      <c r="C137" s="14" t="s">
        <v>87</v>
      </c>
      <c r="D137" s="14" t="s">
        <v>163</v>
      </c>
      <c r="E137" s="14" t="s">
        <v>171</v>
      </c>
      <c r="F137" s="15" t="s">
        <v>172</v>
      </c>
      <c r="G137" s="14" t="s">
        <v>173</v>
      </c>
      <c r="H137" s="15" t="s">
        <v>174</v>
      </c>
      <c r="I137" s="15" t="s">
        <v>111</v>
      </c>
      <c r="J137" s="15" t="n">
        <v>10</v>
      </c>
    </row>
    <row r="138" customFormat="false" ht="15" hidden="false" customHeight="false" outlineLevel="0" collapsed="false">
      <c r="A138" s="14" t="s">
        <v>503</v>
      </c>
      <c r="B138" s="15" t="s">
        <v>477</v>
      </c>
      <c r="C138" s="14" t="s">
        <v>87</v>
      </c>
      <c r="D138" s="14" t="s">
        <v>155</v>
      </c>
      <c r="E138" s="14" t="s">
        <v>88</v>
      </c>
      <c r="F138" s="15" t="s">
        <v>89</v>
      </c>
      <c r="G138" s="14" t="s">
        <v>90</v>
      </c>
      <c r="H138" s="15" t="s">
        <v>91</v>
      </c>
      <c r="I138" s="15" t="s">
        <v>129</v>
      </c>
      <c r="J138" s="15" t="n">
        <v>5</v>
      </c>
    </row>
    <row r="139" customFormat="false" ht="15" hidden="false" customHeight="false" outlineLevel="0" collapsed="false">
      <c r="A139" s="14" t="s">
        <v>504</v>
      </c>
      <c r="B139" s="15" t="s">
        <v>477</v>
      </c>
      <c r="C139" s="14" t="s">
        <v>87</v>
      </c>
      <c r="D139" s="14" t="s">
        <v>155</v>
      </c>
      <c r="E139" s="14" t="s">
        <v>505</v>
      </c>
      <c r="F139" s="15" t="s">
        <v>262</v>
      </c>
      <c r="G139" s="14" t="s">
        <v>357</v>
      </c>
      <c r="H139" s="15" t="s">
        <v>358</v>
      </c>
      <c r="I139" s="15" t="s">
        <v>265</v>
      </c>
      <c r="J139" s="15" t="n">
        <v>12</v>
      </c>
    </row>
    <row r="140" customFormat="false" ht="15" hidden="false" customHeight="false" outlineLevel="0" collapsed="false">
      <c r="A140" s="14" t="s">
        <v>506</v>
      </c>
      <c r="B140" s="15" t="s">
        <v>477</v>
      </c>
      <c r="C140" s="14" t="s">
        <v>87</v>
      </c>
      <c r="D140" s="14" t="s">
        <v>155</v>
      </c>
      <c r="E140" s="14" t="s">
        <v>507</v>
      </c>
      <c r="F140" s="15" t="s">
        <v>96</v>
      </c>
      <c r="G140" s="14" t="s">
        <v>225</v>
      </c>
      <c r="H140" s="15" t="s">
        <v>226</v>
      </c>
      <c r="I140" s="15" t="s">
        <v>135</v>
      </c>
      <c r="J140" s="15" t="n">
        <v>10</v>
      </c>
    </row>
    <row r="141" customFormat="false" ht="15" hidden="false" customHeight="false" outlineLevel="0" collapsed="false">
      <c r="A141" s="14" t="s">
        <v>508</v>
      </c>
      <c r="B141" s="15" t="s">
        <v>477</v>
      </c>
      <c r="C141" s="14" t="s">
        <v>87</v>
      </c>
      <c r="D141" s="14" t="s">
        <v>155</v>
      </c>
      <c r="E141" s="14" t="s">
        <v>509</v>
      </c>
      <c r="F141" s="15" t="s">
        <v>424</v>
      </c>
      <c r="G141" s="14" t="s">
        <v>168</v>
      </c>
      <c r="H141" s="15" t="s">
        <v>169</v>
      </c>
      <c r="I141" s="15" t="s">
        <v>141</v>
      </c>
      <c r="J141" s="15" t="n">
        <v>13</v>
      </c>
    </row>
    <row r="142" customFormat="false" ht="15" hidden="false" customHeight="false" outlineLevel="0" collapsed="false">
      <c r="A142" s="14" t="s">
        <v>510</v>
      </c>
      <c r="B142" s="15" t="s">
        <v>477</v>
      </c>
      <c r="C142" s="14" t="s">
        <v>163</v>
      </c>
      <c r="D142" s="14" t="s">
        <v>155</v>
      </c>
      <c r="E142" s="14" t="s">
        <v>188</v>
      </c>
      <c r="F142" s="15" t="s">
        <v>189</v>
      </c>
      <c r="G142" s="14" t="s">
        <v>190</v>
      </c>
      <c r="H142" s="15" t="s">
        <v>191</v>
      </c>
      <c r="I142" s="15" t="s">
        <v>111</v>
      </c>
      <c r="J142" s="15" t="n">
        <v>20</v>
      </c>
    </row>
    <row r="143" customFormat="false" ht="15" hidden="false" customHeight="false" outlineLevel="0" collapsed="false">
      <c r="A143" s="14" t="s">
        <v>511</v>
      </c>
      <c r="B143" s="15" t="s">
        <v>477</v>
      </c>
      <c r="C143" s="14" t="s">
        <v>163</v>
      </c>
      <c r="D143" s="14" t="s">
        <v>201</v>
      </c>
      <c r="E143" s="14" t="s">
        <v>512</v>
      </c>
      <c r="F143" s="15" t="s">
        <v>513</v>
      </c>
      <c r="G143" s="14" t="s">
        <v>115</v>
      </c>
      <c r="H143" s="15" t="s">
        <v>116</v>
      </c>
      <c r="I143" s="15" t="s">
        <v>353</v>
      </c>
      <c r="J143" s="15" t="n">
        <v>17</v>
      </c>
    </row>
    <row r="144" customFormat="false" ht="15" hidden="false" customHeight="false" outlineLevel="0" collapsed="false">
      <c r="A144" s="14" t="s">
        <v>514</v>
      </c>
      <c r="B144" s="15" t="s">
        <v>477</v>
      </c>
      <c r="C144" s="14" t="s">
        <v>155</v>
      </c>
      <c r="D144" s="14" t="s">
        <v>201</v>
      </c>
      <c r="E144" s="14" t="s">
        <v>515</v>
      </c>
      <c r="F144" s="15" t="s">
        <v>516</v>
      </c>
      <c r="G144" s="14" t="s">
        <v>173</v>
      </c>
      <c r="H144" s="15" t="s">
        <v>174</v>
      </c>
      <c r="I144" s="15" t="s">
        <v>158</v>
      </c>
      <c r="J144" s="15" t="n">
        <v>12</v>
      </c>
    </row>
    <row r="145" customFormat="false" ht="15" hidden="false" customHeight="false" outlineLevel="0" collapsed="false">
      <c r="A145" s="14" t="s">
        <v>517</v>
      </c>
      <c r="B145" s="15" t="s">
        <v>477</v>
      </c>
      <c r="C145" s="14" t="s">
        <v>155</v>
      </c>
      <c r="D145" s="14" t="s">
        <v>201</v>
      </c>
      <c r="E145" s="14" t="s">
        <v>107</v>
      </c>
      <c r="F145" s="15" t="s">
        <v>108</v>
      </c>
      <c r="G145" s="14" t="s">
        <v>109</v>
      </c>
      <c r="H145" s="15" t="s">
        <v>110</v>
      </c>
      <c r="I145" s="15" t="s">
        <v>92</v>
      </c>
      <c r="J145" s="15" t="n">
        <v>13</v>
      </c>
    </row>
    <row r="146" customFormat="false" ht="15" hidden="false" customHeight="false" outlineLevel="0" collapsed="false">
      <c r="A146" s="14" t="s">
        <v>518</v>
      </c>
      <c r="B146" s="15" t="s">
        <v>477</v>
      </c>
      <c r="C146" s="14" t="s">
        <v>155</v>
      </c>
      <c r="D146" s="14" t="s">
        <v>201</v>
      </c>
      <c r="E146" s="14" t="s">
        <v>164</v>
      </c>
      <c r="F146" s="15" t="s">
        <v>150</v>
      </c>
      <c r="G146" s="14" t="s">
        <v>139</v>
      </c>
      <c r="H146" s="15" t="s">
        <v>140</v>
      </c>
      <c r="I146" s="15" t="s">
        <v>105</v>
      </c>
      <c r="J146" s="15" t="n">
        <v>12</v>
      </c>
    </row>
    <row r="147" customFormat="false" ht="15" hidden="false" customHeight="false" outlineLevel="0" collapsed="false">
      <c r="A147" s="14" t="s">
        <v>519</v>
      </c>
      <c r="B147" s="15" t="s">
        <v>477</v>
      </c>
      <c r="C147" s="14" t="s">
        <v>155</v>
      </c>
      <c r="D147" s="14" t="s">
        <v>201</v>
      </c>
      <c r="E147" s="14" t="s">
        <v>520</v>
      </c>
      <c r="F147" s="15" t="s">
        <v>521</v>
      </c>
      <c r="G147" s="14" t="s">
        <v>204</v>
      </c>
      <c r="H147" s="15" t="s">
        <v>205</v>
      </c>
      <c r="I147" s="15" t="s">
        <v>214</v>
      </c>
      <c r="J147" s="15" t="n">
        <v>26</v>
      </c>
    </row>
    <row r="148" customFormat="false" ht="15" hidden="false" customHeight="false" outlineLevel="0" collapsed="false">
      <c r="A148" s="14" t="s">
        <v>522</v>
      </c>
      <c r="B148" s="15" t="s">
        <v>477</v>
      </c>
      <c r="C148" s="14" t="s">
        <v>155</v>
      </c>
      <c r="D148" s="14" t="s">
        <v>201</v>
      </c>
      <c r="E148" s="14" t="s">
        <v>523</v>
      </c>
      <c r="F148" s="15" t="s">
        <v>295</v>
      </c>
      <c r="G148" s="14" t="s">
        <v>296</v>
      </c>
      <c r="H148" s="15" t="s">
        <v>297</v>
      </c>
      <c r="I148" s="15" t="s">
        <v>111</v>
      </c>
      <c r="J148" s="15" t="n">
        <v>26</v>
      </c>
    </row>
    <row r="149" customFormat="false" ht="15" hidden="false" customHeight="false" outlineLevel="0" collapsed="false">
      <c r="A149" s="14" t="s">
        <v>524</v>
      </c>
      <c r="B149" s="15" t="s">
        <v>477</v>
      </c>
      <c r="C149" s="14" t="s">
        <v>155</v>
      </c>
      <c r="D149" s="14" t="s">
        <v>201</v>
      </c>
      <c r="E149" s="14" t="s">
        <v>525</v>
      </c>
      <c r="F149" s="15" t="s">
        <v>382</v>
      </c>
      <c r="G149" s="14" t="s">
        <v>397</v>
      </c>
      <c r="H149" s="15" t="s">
        <v>398</v>
      </c>
      <c r="I149" s="15" t="s">
        <v>123</v>
      </c>
      <c r="J149" s="15" t="n">
        <v>10</v>
      </c>
    </row>
    <row r="150" customFormat="false" ht="15" hidden="false" customHeight="false" outlineLevel="0" collapsed="false">
      <c r="A150" s="14" t="s">
        <v>526</v>
      </c>
      <c r="B150" s="15" t="s">
        <v>477</v>
      </c>
      <c r="C150" s="14" t="s">
        <v>155</v>
      </c>
      <c r="D150" s="14" t="s">
        <v>201</v>
      </c>
      <c r="E150" s="14" t="s">
        <v>451</v>
      </c>
      <c r="F150" s="15" t="s">
        <v>257</v>
      </c>
      <c r="G150" s="14" t="s">
        <v>258</v>
      </c>
      <c r="H150" s="15" t="s">
        <v>259</v>
      </c>
      <c r="I150" s="15" t="s">
        <v>228</v>
      </c>
      <c r="J150" s="15" t="n">
        <v>10</v>
      </c>
    </row>
    <row r="151" customFormat="false" ht="15" hidden="false" customHeight="false" outlineLevel="0" collapsed="false">
      <c r="A151" s="14" t="s">
        <v>527</v>
      </c>
      <c r="B151" s="15" t="s">
        <v>477</v>
      </c>
      <c r="C151" s="14" t="s">
        <v>155</v>
      </c>
      <c r="D151" s="14" t="s">
        <v>201</v>
      </c>
      <c r="E151" s="14" t="s">
        <v>216</v>
      </c>
      <c r="F151" s="15" t="s">
        <v>217</v>
      </c>
      <c r="G151" s="14" t="s">
        <v>133</v>
      </c>
      <c r="H151" s="15" t="s">
        <v>134</v>
      </c>
      <c r="I151" s="15" t="s">
        <v>135</v>
      </c>
      <c r="J151" s="15" t="n">
        <v>14</v>
      </c>
    </row>
    <row r="152" customFormat="false" ht="15" hidden="false" customHeight="false" outlineLevel="0" collapsed="false">
      <c r="A152" s="14" t="s">
        <v>528</v>
      </c>
      <c r="B152" s="15" t="s">
        <v>477</v>
      </c>
      <c r="C152" s="14" t="s">
        <v>155</v>
      </c>
      <c r="D152" s="14" t="s">
        <v>201</v>
      </c>
      <c r="E152" s="14" t="s">
        <v>364</v>
      </c>
      <c r="F152" s="15" t="s">
        <v>144</v>
      </c>
      <c r="G152" s="14" t="s">
        <v>145</v>
      </c>
      <c r="H152" s="15" t="s">
        <v>146</v>
      </c>
      <c r="I152" s="15" t="s">
        <v>141</v>
      </c>
      <c r="J152" s="15" t="n">
        <v>8</v>
      </c>
    </row>
    <row r="153" customFormat="false" ht="15" hidden="false" customHeight="false" outlineLevel="0" collapsed="false">
      <c r="A153" s="14" t="s">
        <v>529</v>
      </c>
      <c r="B153" s="15" t="s">
        <v>477</v>
      </c>
      <c r="C153" s="14" t="s">
        <v>155</v>
      </c>
      <c r="D153" s="14" t="s">
        <v>201</v>
      </c>
      <c r="E153" s="14" t="s">
        <v>530</v>
      </c>
      <c r="F153" s="15" t="s">
        <v>89</v>
      </c>
      <c r="G153" s="14" t="s">
        <v>406</v>
      </c>
      <c r="H153" s="15" t="s">
        <v>407</v>
      </c>
      <c r="I153" s="15" t="s">
        <v>153</v>
      </c>
      <c r="J153" s="15" t="n">
        <v>12</v>
      </c>
    </row>
    <row r="154" customFormat="false" ht="15" hidden="false" customHeight="false" outlineLevel="0" collapsed="false">
      <c r="A154" s="14" t="s">
        <v>531</v>
      </c>
      <c r="B154" s="15" t="s">
        <v>477</v>
      </c>
      <c r="C154" s="14" t="s">
        <v>155</v>
      </c>
      <c r="D154" s="14" t="s">
        <v>201</v>
      </c>
      <c r="E154" s="14" t="s">
        <v>532</v>
      </c>
      <c r="F154" s="15" t="s">
        <v>421</v>
      </c>
      <c r="G154" s="14" t="s">
        <v>103</v>
      </c>
      <c r="H154" s="15" t="s">
        <v>104</v>
      </c>
      <c r="I154" s="15" t="s">
        <v>533</v>
      </c>
      <c r="J154" s="15" t="n">
        <v>14</v>
      </c>
    </row>
    <row r="155" customFormat="false" ht="15" hidden="false" customHeight="false" outlineLevel="0" collapsed="false">
      <c r="A155" s="14" t="s">
        <v>534</v>
      </c>
      <c r="B155" s="15" t="s">
        <v>477</v>
      </c>
      <c r="C155" s="14" t="s">
        <v>237</v>
      </c>
      <c r="D155" s="14" t="s">
        <v>238</v>
      </c>
      <c r="E155" s="14" t="s">
        <v>156</v>
      </c>
      <c r="F155" s="15" t="s">
        <v>157</v>
      </c>
      <c r="G155" s="14" t="s">
        <v>109</v>
      </c>
      <c r="H155" s="15" t="s">
        <v>110</v>
      </c>
      <c r="I155" s="15" t="s">
        <v>92</v>
      </c>
      <c r="J155" s="15" t="n">
        <v>16</v>
      </c>
    </row>
    <row r="156" customFormat="false" ht="15" hidden="false" customHeight="false" outlineLevel="0" collapsed="false">
      <c r="A156" s="14" t="s">
        <v>535</v>
      </c>
      <c r="B156" s="15" t="s">
        <v>477</v>
      </c>
      <c r="C156" s="14" t="s">
        <v>237</v>
      </c>
      <c r="D156" s="14" t="s">
        <v>238</v>
      </c>
      <c r="E156" s="14" t="s">
        <v>285</v>
      </c>
      <c r="F156" s="15" t="s">
        <v>286</v>
      </c>
      <c r="G156" s="14" t="s">
        <v>287</v>
      </c>
      <c r="H156" s="15" t="s">
        <v>288</v>
      </c>
      <c r="I156" s="15" t="s">
        <v>99</v>
      </c>
      <c r="J156" s="15" t="n">
        <v>15</v>
      </c>
    </row>
    <row r="157" customFormat="false" ht="15" hidden="false" customHeight="false" outlineLevel="0" collapsed="false">
      <c r="A157" s="14" t="s">
        <v>536</v>
      </c>
      <c r="B157" s="15" t="s">
        <v>477</v>
      </c>
      <c r="C157" s="14" t="s">
        <v>237</v>
      </c>
      <c r="D157" s="14" t="s">
        <v>238</v>
      </c>
      <c r="E157" s="14" t="s">
        <v>400</v>
      </c>
      <c r="F157" s="15" t="s">
        <v>313</v>
      </c>
      <c r="G157" s="14" t="s">
        <v>103</v>
      </c>
      <c r="H157" s="15" t="s">
        <v>104</v>
      </c>
      <c r="I157" s="15" t="s">
        <v>105</v>
      </c>
      <c r="J157" s="15" t="n">
        <v>7</v>
      </c>
    </row>
    <row r="158" customFormat="false" ht="15" hidden="false" customHeight="false" outlineLevel="0" collapsed="false">
      <c r="A158" s="14" t="s">
        <v>537</v>
      </c>
      <c r="B158" s="15" t="s">
        <v>477</v>
      </c>
      <c r="C158" s="14" t="s">
        <v>237</v>
      </c>
      <c r="D158" s="14" t="s">
        <v>238</v>
      </c>
      <c r="E158" s="14" t="s">
        <v>283</v>
      </c>
      <c r="F158" s="15" t="s">
        <v>252</v>
      </c>
      <c r="G158" s="14" t="s">
        <v>276</v>
      </c>
      <c r="H158" s="15" t="s">
        <v>277</v>
      </c>
      <c r="I158" s="15" t="s">
        <v>129</v>
      </c>
      <c r="J158" s="15" t="n">
        <v>8</v>
      </c>
    </row>
    <row r="159" customFormat="false" ht="15" hidden="false" customHeight="false" outlineLevel="0" collapsed="false">
      <c r="A159" s="14" t="s">
        <v>538</v>
      </c>
      <c r="B159" s="15" t="s">
        <v>477</v>
      </c>
      <c r="C159" s="14" t="s">
        <v>237</v>
      </c>
      <c r="D159" s="14" t="s">
        <v>238</v>
      </c>
      <c r="E159" s="14" t="s">
        <v>539</v>
      </c>
      <c r="F159" s="15" t="s">
        <v>245</v>
      </c>
      <c r="G159" s="14" t="s">
        <v>246</v>
      </c>
      <c r="H159" s="15" t="s">
        <v>247</v>
      </c>
      <c r="I159" s="15" t="s">
        <v>265</v>
      </c>
      <c r="J159" s="15" t="n">
        <v>11</v>
      </c>
    </row>
    <row r="160" customFormat="false" ht="15" hidden="false" customHeight="false" outlineLevel="0" collapsed="false">
      <c r="A160" s="14" t="s">
        <v>540</v>
      </c>
      <c r="B160" s="15" t="s">
        <v>477</v>
      </c>
      <c r="C160" s="14" t="s">
        <v>237</v>
      </c>
      <c r="D160" s="14" t="s">
        <v>274</v>
      </c>
      <c r="E160" s="14" t="s">
        <v>541</v>
      </c>
      <c r="F160" s="15" t="s">
        <v>542</v>
      </c>
      <c r="G160" s="14" t="s">
        <v>263</v>
      </c>
      <c r="H160" s="15" t="s">
        <v>264</v>
      </c>
      <c r="I160" s="15" t="s">
        <v>135</v>
      </c>
      <c r="J160" s="15" t="n">
        <v>14</v>
      </c>
    </row>
    <row r="161" customFormat="false" ht="15" hidden="false" customHeight="false" outlineLevel="0" collapsed="false">
      <c r="A161" s="14" t="s">
        <v>543</v>
      </c>
      <c r="B161" s="15" t="s">
        <v>477</v>
      </c>
      <c r="C161" s="14" t="s">
        <v>237</v>
      </c>
      <c r="D161" s="14" t="s">
        <v>238</v>
      </c>
      <c r="E161" s="14" t="s">
        <v>544</v>
      </c>
      <c r="F161" s="15" t="s">
        <v>415</v>
      </c>
      <c r="G161" s="14" t="s">
        <v>397</v>
      </c>
      <c r="H161" s="15" t="s">
        <v>398</v>
      </c>
      <c r="I161" s="15" t="s">
        <v>147</v>
      </c>
      <c r="J161" s="15" t="n">
        <v>8</v>
      </c>
    </row>
    <row r="162" customFormat="false" ht="15" hidden="false" customHeight="false" outlineLevel="0" collapsed="false">
      <c r="A162" s="14" t="s">
        <v>545</v>
      </c>
      <c r="B162" s="15" t="s">
        <v>477</v>
      </c>
      <c r="C162" s="14" t="s">
        <v>237</v>
      </c>
      <c r="D162" s="14" t="s">
        <v>274</v>
      </c>
      <c r="E162" s="14" t="s">
        <v>456</v>
      </c>
      <c r="F162" s="15" t="s">
        <v>138</v>
      </c>
      <c r="G162" s="14" t="s">
        <v>241</v>
      </c>
      <c r="H162" s="15" t="s">
        <v>242</v>
      </c>
      <c r="I162" s="15" t="s">
        <v>153</v>
      </c>
      <c r="J162" s="15" t="n">
        <v>11</v>
      </c>
    </row>
    <row r="163" customFormat="false" ht="15" hidden="false" customHeight="false" outlineLevel="0" collapsed="false">
      <c r="A163" s="14" t="s">
        <v>546</v>
      </c>
      <c r="B163" s="15" t="s">
        <v>477</v>
      </c>
      <c r="C163" s="14" t="s">
        <v>237</v>
      </c>
      <c r="D163" s="14" t="s">
        <v>238</v>
      </c>
      <c r="E163" s="14" t="s">
        <v>444</v>
      </c>
      <c r="F163" s="15" t="s">
        <v>316</v>
      </c>
      <c r="G163" s="14" t="s">
        <v>145</v>
      </c>
      <c r="H163" s="15" t="s">
        <v>146</v>
      </c>
      <c r="I163" s="15" t="s">
        <v>547</v>
      </c>
      <c r="J163" s="15" t="n">
        <v>12</v>
      </c>
    </row>
    <row r="164" customFormat="false" ht="15" hidden="false" customHeight="false" outlineLevel="0" collapsed="false">
      <c r="A164" s="14" t="s">
        <v>548</v>
      </c>
      <c r="B164" s="15" t="s">
        <v>477</v>
      </c>
      <c r="C164" s="14" t="s">
        <v>238</v>
      </c>
      <c r="D164" s="14" t="s">
        <v>279</v>
      </c>
      <c r="E164" s="14" t="s">
        <v>549</v>
      </c>
      <c r="F164" s="15" t="s">
        <v>281</v>
      </c>
      <c r="G164" s="14" t="s">
        <v>271</v>
      </c>
      <c r="H164" s="15" t="s">
        <v>272</v>
      </c>
      <c r="I164" s="15" t="s">
        <v>158</v>
      </c>
      <c r="J164" s="15" t="n">
        <v>11</v>
      </c>
    </row>
    <row r="165" customFormat="false" ht="15" hidden="false" customHeight="false" outlineLevel="0" collapsed="false">
      <c r="A165" s="14" t="s">
        <v>550</v>
      </c>
      <c r="B165" s="15" t="s">
        <v>477</v>
      </c>
      <c r="C165" s="14" t="s">
        <v>238</v>
      </c>
      <c r="D165" s="14" t="s">
        <v>279</v>
      </c>
      <c r="E165" s="14" t="s">
        <v>541</v>
      </c>
      <c r="F165" s="15" t="s">
        <v>542</v>
      </c>
      <c r="G165" s="14" t="s">
        <v>263</v>
      </c>
      <c r="H165" s="15" t="s">
        <v>264</v>
      </c>
      <c r="I165" s="15" t="s">
        <v>99</v>
      </c>
      <c r="J165" s="15" t="n">
        <v>14</v>
      </c>
    </row>
    <row r="166" customFormat="false" ht="15" hidden="false" customHeight="false" outlineLevel="0" collapsed="false">
      <c r="A166" s="14" t="s">
        <v>551</v>
      </c>
      <c r="B166" s="15" t="s">
        <v>477</v>
      </c>
      <c r="C166" s="14" t="s">
        <v>238</v>
      </c>
      <c r="D166" s="14" t="s">
        <v>279</v>
      </c>
      <c r="E166" s="14" t="s">
        <v>552</v>
      </c>
      <c r="F166" s="15" t="s">
        <v>415</v>
      </c>
      <c r="G166" s="14" t="s">
        <v>397</v>
      </c>
      <c r="H166" s="15" t="s">
        <v>398</v>
      </c>
      <c r="I166" s="15" t="s">
        <v>129</v>
      </c>
      <c r="J166" s="15" t="n">
        <v>10</v>
      </c>
    </row>
    <row r="167" customFormat="false" ht="15" hidden="false" customHeight="false" outlineLevel="0" collapsed="false">
      <c r="A167" s="14" t="s">
        <v>553</v>
      </c>
      <c r="B167" s="15" t="s">
        <v>477</v>
      </c>
      <c r="C167" s="14" t="s">
        <v>238</v>
      </c>
      <c r="D167" s="14" t="s">
        <v>279</v>
      </c>
      <c r="E167" s="14" t="s">
        <v>554</v>
      </c>
      <c r="F167" s="15" t="s">
        <v>96</v>
      </c>
      <c r="G167" s="14" t="s">
        <v>332</v>
      </c>
      <c r="H167" s="15" t="s">
        <v>333</v>
      </c>
      <c r="I167" s="15" t="s">
        <v>135</v>
      </c>
      <c r="J167" s="15" t="n">
        <v>12</v>
      </c>
    </row>
    <row r="168" customFormat="false" ht="15" hidden="false" customHeight="false" outlineLevel="0" collapsed="false">
      <c r="A168" s="14" t="s">
        <v>555</v>
      </c>
      <c r="B168" s="15" t="s">
        <v>477</v>
      </c>
      <c r="C168" s="14" t="s">
        <v>238</v>
      </c>
      <c r="D168" s="14" t="s">
        <v>279</v>
      </c>
      <c r="E168" s="14" t="s">
        <v>556</v>
      </c>
      <c r="F168" s="15" t="s">
        <v>316</v>
      </c>
      <c r="G168" s="14" t="s">
        <v>317</v>
      </c>
      <c r="H168" s="15" t="s">
        <v>318</v>
      </c>
      <c r="I168" s="15" t="s">
        <v>141</v>
      </c>
      <c r="J168" s="15" t="n">
        <v>15</v>
      </c>
    </row>
    <row r="169" customFormat="false" ht="15" hidden="false" customHeight="false" outlineLevel="0" collapsed="false">
      <c r="A169" s="14" t="s">
        <v>557</v>
      </c>
      <c r="B169" s="15" t="s">
        <v>477</v>
      </c>
      <c r="C169" s="14" t="s">
        <v>238</v>
      </c>
      <c r="D169" s="14" t="s">
        <v>279</v>
      </c>
      <c r="E169" s="14" t="s">
        <v>299</v>
      </c>
      <c r="F169" s="15" t="s">
        <v>150</v>
      </c>
      <c r="G169" s="14" t="s">
        <v>276</v>
      </c>
      <c r="H169" s="15" t="s">
        <v>277</v>
      </c>
      <c r="I169" s="15" t="s">
        <v>147</v>
      </c>
      <c r="J169" s="15" t="n">
        <v>9</v>
      </c>
    </row>
    <row r="170" customFormat="false" ht="15" hidden="false" customHeight="false" outlineLevel="0" collapsed="false">
      <c r="A170" s="14" t="s">
        <v>558</v>
      </c>
      <c r="B170" s="15" t="s">
        <v>477</v>
      </c>
      <c r="C170" s="14" t="s">
        <v>293</v>
      </c>
      <c r="D170" s="14" t="s">
        <v>559</v>
      </c>
      <c r="E170" s="14" t="s">
        <v>560</v>
      </c>
      <c r="F170" s="15" t="s">
        <v>561</v>
      </c>
      <c r="G170" s="14" t="s">
        <v>241</v>
      </c>
      <c r="H170" s="15" t="s">
        <v>242</v>
      </c>
      <c r="I170" s="15" t="s">
        <v>562</v>
      </c>
      <c r="J170" s="15" t="n">
        <v>34</v>
      </c>
    </row>
    <row r="171" customFormat="false" ht="15" hidden="false" customHeight="false" outlineLevel="0" collapsed="false">
      <c r="A171" s="14" t="s">
        <v>563</v>
      </c>
      <c r="B171" s="15" t="s">
        <v>564</v>
      </c>
      <c r="C171" s="14" t="s">
        <v>86</v>
      </c>
      <c r="D171" s="14" t="s">
        <v>87</v>
      </c>
      <c r="E171" s="14" t="s">
        <v>565</v>
      </c>
      <c r="F171" s="15" t="s">
        <v>240</v>
      </c>
      <c r="G171" s="14" t="s">
        <v>173</v>
      </c>
      <c r="H171" s="15" t="s">
        <v>174</v>
      </c>
      <c r="I171" s="15" t="s">
        <v>158</v>
      </c>
      <c r="J171" s="15" t="n">
        <v>9</v>
      </c>
    </row>
    <row r="172" customFormat="false" ht="15" hidden="false" customHeight="false" outlineLevel="0" collapsed="false">
      <c r="A172" s="14" t="s">
        <v>566</v>
      </c>
      <c r="B172" s="15" t="s">
        <v>564</v>
      </c>
      <c r="C172" s="14" t="s">
        <v>86</v>
      </c>
      <c r="D172" s="14" t="s">
        <v>87</v>
      </c>
      <c r="E172" s="14" t="s">
        <v>567</v>
      </c>
      <c r="F172" s="15" t="s">
        <v>108</v>
      </c>
      <c r="G172" s="14" t="s">
        <v>109</v>
      </c>
      <c r="H172" s="15" t="s">
        <v>110</v>
      </c>
      <c r="I172" s="15" t="s">
        <v>92</v>
      </c>
      <c r="J172" s="15" t="n">
        <v>15</v>
      </c>
    </row>
    <row r="173" customFormat="false" ht="15" hidden="false" customHeight="false" outlineLevel="0" collapsed="false">
      <c r="A173" s="14" t="s">
        <v>568</v>
      </c>
      <c r="B173" s="15" t="s">
        <v>564</v>
      </c>
      <c r="C173" s="14" t="s">
        <v>86</v>
      </c>
      <c r="D173" s="14" t="s">
        <v>87</v>
      </c>
      <c r="E173" s="14" t="s">
        <v>554</v>
      </c>
      <c r="F173" s="15" t="s">
        <v>96</v>
      </c>
      <c r="G173" s="14" t="s">
        <v>317</v>
      </c>
      <c r="H173" s="15" t="s">
        <v>318</v>
      </c>
      <c r="I173" s="15" t="s">
        <v>99</v>
      </c>
      <c r="J173" s="15" t="n">
        <v>12</v>
      </c>
    </row>
    <row r="174" customFormat="false" ht="15" hidden="false" customHeight="false" outlineLevel="0" collapsed="false">
      <c r="A174" s="14" t="s">
        <v>569</v>
      </c>
      <c r="B174" s="15" t="s">
        <v>564</v>
      </c>
      <c r="C174" s="14" t="s">
        <v>86</v>
      </c>
      <c r="D174" s="14" t="s">
        <v>87</v>
      </c>
      <c r="E174" s="14" t="s">
        <v>336</v>
      </c>
      <c r="F174" s="15" t="s">
        <v>337</v>
      </c>
      <c r="G174" s="14" t="s">
        <v>90</v>
      </c>
      <c r="H174" s="15" t="s">
        <v>91</v>
      </c>
      <c r="I174" s="15" t="s">
        <v>111</v>
      </c>
      <c r="J174" s="15" t="n">
        <v>14</v>
      </c>
    </row>
    <row r="175" customFormat="false" ht="15" hidden="false" customHeight="false" outlineLevel="0" collapsed="false">
      <c r="A175" s="14" t="s">
        <v>570</v>
      </c>
      <c r="B175" s="15" t="s">
        <v>564</v>
      </c>
      <c r="C175" s="14" t="s">
        <v>86</v>
      </c>
      <c r="D175" s="14" t="s">
        <v>87</v>
      </c>
      <c r="E175" s="14" t="s">
        <v>571</v>
      </c>
      <c r="F175" s="15" t="s">
        <v>572</v>
      </c>
      <c r="G175" s="14" t="s">
        <v>115</v>
      </c>
      <c r="H175" s="15" t="s">
        <v>116</v>
      </c>
      <c r="I175" s="15" t="s">
        <v>344</v>
      </c>
      <c r="J175" s="15" t="n">
        <v>31</v>
      </c>
    </row>
    <row r="176" customFormat="false" ht="15" hidden="false" customHeight="false" outlineLevel="0" collapsed="false">
      <c r="A176" s="14" t="s">
        <v>573</v>
      </c>
      <c r="B176" s="15" t="s">
        <v>564</v>
      </c>
      <c r="C176" s="14" t="s">
        <v>86</v>
      </c>
      <c r="D176" s="14" t="s">
        <v>87</v>
      </c>
      <c r="E176" s="14" t="s">
        <v>574</v>
      </c>
      <c r="F176" s="15" t="s">
        <v>150</v>
      </c>
      <c r="G176" s="14" t="s">
        <v>151</v>
      </c>
      <c r="H176" s="15" t="s">
        <v>152</v>
      </c>
      <c r="I176" s="15" t="s">
        <v>221</v>
      </c>
      <c r="J176" s="15" t="n">
        <v>14</v>
      </c>
    </row>
    <row r="177" customFormat="false" ht="15" hidden="false" customHeight="false" outlineLevel="0" collapsed="false">
      <c r="A177" s="14" t="s">
        <v>575</v>
      </c>
      <c r="B177" s="15" t="s">
        <v>564</v>
      </c>
      <c r="C177" s="14" t="s">
        <v>86</v>
      </c>
      <c r="D177" s="14" t="s">
        <v>87</v>
      </c>
      <c r="E177" s="14" t="s">
        <v>576</v>
      </c>
      <c r="F177" s="15" t="s">
        <v>126</v>
      </c>
      <c r="G177" s="14" t="s">
        <v>127</v>
      </c>
      <c r="H177" s="15" t="s">
        <v>128</v>
      </c>
      <c r="I177" s="15" t="s">
        <v>129</v>
      </c>
      <c r="J177" s="15" t="n">
        <v>15</v>
      </c>
    </row>
    <row r="178" customFormat="false" ht="15" hidden="false" customHeight="false" outlineLevel="0" collapsed="false">
      <c r="A178" s="14" t="s">
        <v>577</v>
      </c>
      <c r="B178" s="15" t="s">
        <v>564</v>
      </c>
      <c r="C178" s="14" t="s">
        <v>86</v>
      </c>
      <c r="D178" s="14" t="s">
        <v>87</v>
      </c>
      <c r="E178" s="14" t="s">
        <v>578</v>
      </c>
      <c r="F178" s="15" t="s">
        <v>132</v>
      </c>
      <c r="G178" s="14" t="s">
        <v>133</v>
      </c>
      <c r="H178" s="15" t="s">
        <v>134</v>
      </c>
      <c r="I178" s="15" t="s">
        <v>135</v>
      </c>
      <c r="J178" s="15" t="n">
        <v>15</v>
      </c>
    </row>
    <row r="179" customFormat="false" ht="15" hidden="false" customHeight="false" outlineLevel="0" collapsed="false">
      <c r="A179" s="14" t="s">
        <v>579</v>
      </c>
      <c r="B179" s="15" t="s">
        <v>564</v>
      </c>
      <c r="C179" s="14" t="s">
        <v>86</v>
      </c>
      <c r="D179" s="14" t="s">
        <v>87</v>
      </c>
      <c r="E179" s="14" t="s">
        <v>580</v>
      </c>
      <c r="F179" s="15" t="s">
        <v>252</v>
      </c>
      <c r="G179" s="14" t="s">
        <v>253</v>
      </c>
      <c r="H179" s="15" t="s">
        <v>254</v>
      </c>
      <c r="I179" s="15" t="s">
        <v>141</v>
      </c>
      <c r="J179" s="15" t="n">
        <v>4</v>
      </c>
    </row>
    <row r="180" customFormat="false" ht="15" hidden="false" customHeight="false" outlineLevel="0" collapsed="false">
      <c r="A180" s="14" t="s">
        <v>581</v>
      </c>
      <c r="B180" s="15" t="s">
        <v>564</v>
      </c>
      <c r="C180" s="14" t="s">
        <v>86</v>
      </c>
      <c r="D180" s="14" t="s">
        <v>94</v>
      </c>
      <c r="E180" s="14" t="s">
        <v>582</v>
      </c>
      <c r="F180" s="15" t="s">
        <v>361</v>
      </c>
      <c r="G180" s="14" t="s">
        <v>97</v>
      </c>
      <c r="H180" s="15" t="s">
        <v>98</v>
      </c>
      <c r="I180" s="15" t="s">
        <v>147</v>
      </c>
      <c r="J180" s="15" t="n">
        <v>12</v>
      </c>
    </row>
    <row r="181" customFormat="false" ht="15" hidden="false" customHeight="false" outlineLevel="0" collapsed="false">
      <c r="A181" s="14" t="s">
        <v>583</v>
      </c>
      <c r="B181" s="15" t="s">
        <v>564</v>
      </c>
      <c r="C181" s="14" t="s">
        <v>86</v>
      </c>
      <c r="D181" s="14" t="s">
        <v>87</v>
      </c>
      <c r="E181" s="14" t="s">
        <v>101</v>
      </c>
      <c r="F181" s="15" t="s">
        <v>102</v>
      </c>
      <c r="G181" s="14" t="s">
        <v>332</v>
      </c>
      <c r="H181" s="15" t="s">
        <v>333</v>
      </c>
      <c r="I181" s="15" t="s">
        <v>153</v>
      </c>
      <c r="J181" s="15" t="n">
        <v>11</v>
      </c>
    </row>
    <row r="182" customFormat="false" ht="15" hidden="false" customHeight="false" outlineLevel="0" collapsed="false">
      <c r="A182" s="14" t="s">
        <v>584</v>
      </c>
      <c r="B182" s="15" t="s">
        <v>564</v>
      </c>
      <c r="C182" s="14" t="s">
        <v>94</v>
      </c>
      <c r="D182" s="14" t="s">
        <v>87</v>
      </c>
      <c r="E182" s="14" t="s">
        <v>232</v>
      </c>
      <c r="F182" s="15" t="s">
        <v>197</v>
      </c>
      <c r="G182" s="14" t="s">
        <v>233</v>
      </c>
      <c r="H182" s="15" t="s">
        <v>234</v>
      </c>
      <c r="I182" s="15" t="s">
        <v>214</v>
      </c>
      <c r="J182" s="15" t="n">
        <v>12</v>
      </c>
    </row>
    <row r="183" customFormat="false" ht="15" hidden="false" customHeight="false" outlineLevel="0" collapsed="false">
      <c r="A183" s="14" t="s">
        <v>585</v>
      </c>
      <c r="B183" s="15" t="s">
        <v>564</v>
      </c>
      <c r="C183" s="14" t="s">
        <v>87</v>
      </c>
      <c r="D183" s="14" t="s">
        <v>155</v>
      </c>
      <c r="E183" s="14" t="s">
        <v>586</v>
      </c>
      <c r="F183" s="15" t="s">
        <v>516</v>
      </c>
      <c r="G183" s="14" t="s">
        <v>173</v>
      </c>
      <c r="H183" s="15" t="s">
        <v>174</v>
      </c>
      <c r="I183" s="15" t="s">
        <v>158</v>
      </c>
      <c r="J183" s="15" t="n">
        <v>11</v>
      </c>
    </row>
    <row r="184" customFormat="false" ht="15" hidden="false" customHeight="false" outlineLevel="0" collapsed="false">
      <c r="A184" s="14" t="s">
        <v>587</v>
      </c>
      <c r="B184" s="15" t="s">
        <v>564</v>
      </c>
      <c r="C184" s="14" t="s">
        <v>87</v>
      </c>
      <c r="D184" s="14" t="s">
        <v>163</v>
      </c>
      <c r="E184" s="14" t="s">
        <v>372</v>
      </c>
      <c r="F184" s="15" t="s">
        <v>373</v>
      </c>
      <c r="G184" s="14" t="s">
        <v>296</v>
      </c>
      <c r="H184" s="15" t="s">
        <v>297</v>
      </c>
      <c r="I184" s="15" t="s">
        <v>92</v>
      </c>
      <c r="J184" s="15" t="n">
        <v>13</v>
      </c>
    </row>
    <row r="185" customFormat="false" ht="15" hidden="false" customHeight="false" outlineLevel="0" collapsed="false">
      <c r="A185" s="14" t="s">
        <v>588</v>
      </c>
      <c r="B185" s="15" t="s">
        <v>564</v>
      </c>
      <c r="C185" s="14" t="s">
        <v>87</v>
      </c>
      <c r="D185" s="14" t="s">
        <v>163</v>
      </c>
      <c r="E185" s="14" t="s">
        <v>589</v>
      </c>
      <c r="F185" s="15" t="s">
        <v>590</v>
      </c>
      <c r="G185" s="14" t="s">
        <v>168</v>
      </c>
      <c r="H185" s="15" t="s">
        <v>169</v>
      </c>
      <c r="I185" s="15" t="s">
        <v>99</v>
      </c>
      <c r="J185" s="15" t="n">
        <v>11</v>
      </c>
    </row>
    <row r="186" customFormat="false" ht="15" hidden="false" customHeight="false" outlineLevel="0" collapsed="false">
      <c r="A186" s="14" t="s">
        <v>591</v>
      </c>
      <c r="B186" s="15" t="s">
        <v>564</v>
      </c>
      <c r="C186" s="14" t="s">
        <v>87</v>
      </c>
      <c r="D186" s="14" t="s">
        <v>155</v>
      </c>
      <c r="E186" s="14" t="s">
        <v>530</v>
      </c>
      <c r="F186" s="15" t="s">
        <v>89</v>
      </c>
      <c r="G186" s="14" t="s">
        <v>406</v>
      </c>
      <c r="H186" s="15" t="s">
        <v>407</v>
      </c>
      <c r="I186" s="15" t="s">
        <v>105</v>
      </c>
      <c r="J186" s="15" t="n">
        <v>12</v>
      </c>
    </row>
    <row r="187" customFormat="false" ht="15" hidden="false" customHeight="false" outlineLevel="0" collapsed="false">
      <c r="A187" s="14" t="s">
        <v>592</v>
      </c>
      <c r="B187" s="15" t="s">
        <v>564</v>
      </c>
      <c r="C187" s="14" t="s">
        <v>87</v>
      </c>
      <c r="D187" s="14" t="s">
        <v>163</v>
      </c>
      <c r="E187" s="14" t="s">
        <v>107</v>
      </c>
      <c r="F187" s="15" t="s">
        <v>108</v>
      </c>
      <c r="G187" s="14" t="s">
        <v>115</v>
      </c>
      <c r="H187" s="15" t="s">
        <v>116</v>
      </c>
      <c r="I187" s="15" t="s">
        <v>214</v>
      </c>
      <c r="J187" s="15" t="n">
        <v>13</v>
      </c>
    </row>
    <row r="188" customFormat="false" ht="15" hidden="false" customHeight="false" outlineLevel="0" collapsed="false">
      <c r="A188" s="14" t="s">
        <v>593</v>
      </c>
      <c r="B188" s="15" t="s">
        <v>564</v>
      </c>
      <c r="C188" s="14" t="s">
        <v>87</v>
      </c>
      <c r="D188" s="14" t="s">
        <v>163</v>
      </c>
      <c r="E188" s="14" t="s">
        <v>594</v>
      </c>
      <c r="F188" s="15" t="s">
        <v>350</v>
      </c>
      <c r="G188" s="14" t="s">
        <v>462</v>
      </c>
      <c r="H188" s="15" t="s">
        <v>463</v>
      </c>
      <c r="I188" s="15" t="s">
        <v>111</v>
      </c>
      <c r="J188" s="15" t="n">
        <v>15</v>
      </c>
    </row>
    <row r="189" customFormat="false" ht="15" hidden="false" customHeight="false" outlineLevel="0" collapsed="false">
      <c r="A189" s="14" t="s">
        <v>595</v>
      </c>
      <c r="B189" s="15" t="s">
        <v>564</v>
      </c>
      <c r="C189" s="14" t="s">
        <v>87</v>
      </c>
      <c r="D189" s="14" t="s">
        <v>155</v>
      </c>
      <c r="E189" s="14" t="s">
        <v>596</v>
      </c>
      <c r="F189" s="15" t="s">
        <v>597</v>
      </c>
      <c r="G189" s="14" t="s">
        <v>253</v>
      </c>
      <c r="H189" s="15" t="s">
        <v>254</v>
      </c>
      <c r="I189" s="15" t="s">
        <v>598</v>
      </c>
      <c r="J189" s="15" t="n">
        <v>10</v>
      </c>
    </row>
    <row r="190" customFormat="false" ht="15" hidden="false" customHeight="false" outlineLevel="0" collapsed="false">
      <c r="A190" s="14" t="s">
        <v>599</v>
      </c>
      <c r="B190" s="15" t="s">
        <v>564</v>
      </c>
      <c r="C190" s="14" t="s">
        <v>87</v>
      </c>
      <c r="D190" s="14" t="s">
        <v>155</v>
      </c>
      <c r="E190" s="14" t="s">
        <v>600</v>
      </c>
      <c r="F190" s="15" t="s">
        <v>303</v>
      </c>
      <c r="G190" s="14" t="s">
        <v>304</v>
      </c>
      <c r="H190" s="15" t="s">
        <v>305</v>
      </c>
      <c r="I190" s="15" t="s">
        <v>123</v>
      </c>
      <c r="J190" s="15" t="n">
        <v>8</v>
      </c>
    </row>
    <row r="191" customFormat="false" ht="15" hidden="false" customHeight="false" outlineLevel="0" collapsed="false">
      <c r="A191" s="14" t="s">
        <v>601</v>
      </c>
      <c r="B191" s="15" t="s">
        <v>564</v>
      </c>
      <c r="C191" s="14" t="s">
        <v>87</v>
      </c>
      <c r="D191" s="14" t="s">
        <v>155</v>
      </c>
      <c r="E191" s="14" t="s">
        <v>602</v>
      </c>
      <c r="F191" s="15" t="s">
        <v>102</v>
      </c>
      <c r="G191" s="14" t="s">
        <v>103</v>
      </c>
      <c r="H191" s="15" t="s">
        <v>104</v>
      </c>
      <c r="I191" s="15" t="s">
        <v>153</v>
      </c>
      <c r="J191" s="15" t="n">
        <v>10</v>
      </c>
    </row>
    <row r="192" customFormat="false" ht="15" hidden="false" customHeight="false" outlineLevel="0" collapsed="false">
      <c r="A192" s="14" t="s">
        <v>603</v>
      </c>
      <c r="B192" s="15" t="s">
        <v>564</v>
      </c>
      <c r="C192" s="14" t="s">
        <v>163</v>
      </c>
      <c r="D192" s="14" t="s">
        <v>155</v>
      </c>
      <c r="E192" s="14" t="s">
        <v>232</v>
      </c>
      <c r="F192" s="15" t="s">
        <v>197</v>
      </c>
      <c r="G192" s="14" t="s">
        <v>233</v>
      </c>
      <c r="H192" s="15" t="s">
        <v>234</v>
      </c>
      <c r="I192" s="15" t="s">
        <v>92</v>
      </c>
      <c r="J192" s="15" t="n">
        <v>12</v>
      </c>
    </row>
    <row r="193" customFormat="false" ht="15" hidden="false" customHeight="false" outlineLevel="0" collapsed="false">
      <c r="A193" s="14" t="s">
        <v>604</v>
      </c>
      <c r="B193" s="15" t="s">
        <v>564</v>
      </c>
      <c r="C193" s="14" t="s">
        <v>163</v>
      </c>
      <c r="D193" s="14" t="s">
        <v>155</v>
      </c>
      <c r="E193" s="14" t="s">
        <v>223</v>
      </c>
      <c r="F193" s="15" t="s">
        <v>224</v>
      </c>
      <c r="G193" s="14" t="s">
        <v>225</v>
      </c>
      <c r="H193" s="15" t="s">
        <v>226</v>
      </c>
      <c r="I193" s="15" t="s">
        <v>99</v>
      </c>
      <c r="J193" s="15" t="n">
        <v>8</v>
      </c>
    </row>
    <row r="194" customFormat="false" ht="15" hidden="false" customHeight="false" outlineLevel="0" collapsed="false">
      <c r="A194" s="14" t="s">
        <v>605</v>
      </c>
      <c r="B194" s="15" t="s">
        <v>564</v>
      </c>
      <c r="C194" s="14" t="s">
        <v>163</v>
      </c>
      <c r="D194" s="14" t="s">
        <v>155</v>
      </c>
      <c r="E194" s="14" t="s">
        <v>499</v>
      </c>
      <c r="F194" s="15" t="s">
        <v>382</v>
      </c>
      <c r="G194" s="14" t="s">
        <v>109</v>
      </c>
      <c r="H194" s="15" t="s">
        <v>110</v>
      </c>
      <c r="I194" s="15" t="s">
        <v>111</v>
      </c>
      <c r="J194" s="15" t="n">
        <v>10</v>
      </c>
    </row>
    <row r="195" customFormat="false" ht="15" hidden="false" customHeight="false" outlineLevel="0" collapsed="false">
      <c r="A195" s="14" t="s">
        <v>606</v>
      </c>
      <c r="B195" s="15" t="s">
        <v>564</v>
      </c>
      <c r="C195" s="14" t="s">
        <v>163</v>
      </c>
      <c r="D195" s="14" t="s">
        <v>155</v>
      </c>
      <c r="E195" s="14" t="s">
        <v>594</v>
      </c>
      <c r="F195" s="15" t="s">
        <v>350</v>
      </c>
      <c r="G195" s="14" t="s">
        <v>178</v>
      </c>
      <c r="H195" s="15" t="s">
        <v>179</v>
      </c>
      <c r="I195" s="15" t="s">
        <v>135</v>
      </c>
      <c r="J195" s="15" t="n">
        <v>15</v>
      </c>
    </row>
    <row r="196" customFormat="false" ht="15" hidden="false" customHeight="false" outlineLevel="0" collapsed="false">
      <c r="A196" s="14" t="s">
        <v>607</v>
      </c>
      <c r="B196" s="15" t="s">
        <v>564</v>
      </c>
      <c r="C196" s="14" t="s">
        <v>155</v>
      </c>
      <c r="D196" s="14" t="s">
        <v>201</v>
      </c>
      <c r="E196" s="14" t="s">
        <v>608</v>
      </c>
      <c r="F196" s="15" t="s">
        <v>240</v>
      </c>
      <c r="G196" s="14" t="s">
        <v>332</v>
      </c>
      <c r="H196" s="15" t="s">
        <v>333</v>
      </c>
      <c r="I196" s="15" t="s">
        <v>158</v>
      </c>
      <c r="J196" s="15" t="n">
        <v>8</v>
      </c>
    </row>
    <row r="197" customFormat="false" ht="15" hidden="false" customHeight="false" outlineLevel="0" collapsed="false">
      <c r="A197" s="14" t="s">
        <v>609</v>
      </c>
      <c r="B197" s="15" t="s">
        <v>564</v>
      </c>
      <c r="C197" s="14" t="s">
        <v>155</v>
      </c>
      <c r="D197" s="14" t="s">
        <v>195</v>
      </c>
      <c r="E197" s="14" t="s">
        <v>171</v>
      </c>
      <c r="F197" s="15" t="s">
        <v>172</v>
      </c>
      <c r="G197" s="14" t="s">
        <v>173</v>
      </c>
      <c r="H197" s="15" t="s">
        <v>174</v>
      </c>
      <c r="I197" s="15" t="s">
        <v>92</v>
      </c>
      <c r="J197" s="15" t="n">
        <v>10</v>
      </c>
    </row>
    <row r="198" customFormat="false" ht="15" hidden="false" customHeight="false" outlineLevel="0" collapsed="false">
      <c r="A198" s="14" t="s">
        <v>610</v>
      </c>
      <c r="B198" s="15" t="s">
        <v>564</v>
      </c>
      <c r="C198" s="14" t="s">
        <v>155</v>
      </c>
      <c r="D198" s="14" t="s">
        <v>201</v>
      </c>
      <c r="E198" s="14" t="s">
        <v>183</v>
      </c>
      <c r="F198" s="15" t="s">
        <v>184</v>
      </c>
      <c r="G198" s="14" t="s">
        <v>185</v>
      </c>
      <c r="H198" s="15" t="s">
        <v>186</v>
      </c>
      <c r="I198" s="15" t="s">
        <v>99</v>
      </c>
      <c r="J198" s="15" t="n">
        <v>13</v>
      </c>
    </row>
    <row r="199" customFormat="false" ht="15" hidden="false" customHeight="false" outlineLevel="0" collapsed="false">
      <c r="A199" s="14" t="s">
        <v>611</v>
      </c>
      <c r="B199" s="15" t="s">
        <v>564</v>
      </c>
      <c r="C199" s="14" t="s">
        <v>155</v>
      </c>
      <c r="D199" s="14" t="s">
        <v>201</v>
      </c>
      <c r="E199" s="14" t="s">
        <v>400</v>
      </c>
      <c r="F199" s="15" t="s">
        <v>313</v>
      </c>
      <c r="G199" s="14" t="s">
        <v>103</v>
      </c>
      <c r="H199" s="15" t="s">
        <v>104</v>
      </c>
      <c r="I199" s="15" t="s">
        <v>105</v>
      </c>
      <c r="J199" s="15" t="n">
        <v>7</v>
      </c>
    </row>
    <row r="200" customFormat="false" ht="15" hidden="false" customHeight="false" outlineLevel="0" collapsed="false">
      <c r="A200" s="14" t="s">
        <v>612</v>
      </c>
      <c r="B200" s="15" t="s">
        <v>564</v>
      </c>
      <c r="C200" s="14" t="s">
        <v>155</v>
      </c>
      <c r="D200" s="14" t="s">
        <v>201</v>
      </c>
      <c r="E200" s="14" t="s">
        <v>613</v>
      </c>
      <c r="F200" s="15" t="s">
        <v>220</v>
      </c>
      <c r="G200" s="14" t="s">
        <v>115</v>
      </c>
      <c r="H200" s="15" t="s">
        <v>116</v>
      </c>
      <c r="I200" s="15" t="s">
        <v>344</v>
      </c>
      <c r="J200" s="15" t="n">
        <v>26</v>
      </c>
    </row>
    <row r="201" customFormat="false" ht="15" hidden="false" customHeight="false" outlineLevel="0" collapsed="false">
      <c r="A201" s="14" t="s">
        <v>614</v>
      </c>
      <c r="B201" s="15" t="s">
        <v>564</v>
      </c>
      <c r="C201" s="14" t="s">
        <v>155</v>
      </c>
      <c r="D201" s="14" t="s">
        <v>201</v>
      </c>
      <c r="E201" s="14" t="s">
        <v>499</v>
      </c>
      <c r="F201" s="15" t="s">
        <v>382</v>
      </c>
      <c r="G201" s="14" t="s">
        <v>304</v>
      </c>
      <c r="H201" s="15" t="s">
        <v>305</v>
      </c>
      <c r="I201" s="15" t="s">
        <v>123</v>
      </c>
      <c r="J201" s="15" t="n">
        <v>10</v>
      </c>
    </row>
    <row r="202" customFormat="false" ht="15" hidden="false" customHeight="false" outlineLevel="0" collapsed="false">
      <c r="A202" s="14" t="s">
        <v>615</v>
      </c>
      <c r="B202" s="15" t="s">
        <v>564</v>
      </c>
      <c r="C202" s="14" t="s">
        <v>155</v>
      </c>
      <c r="D202" s="14" t="s">
        <v>201</v>
      </c>
      <c r="E202" s="14" t="s">
        <v>616</v>
      </c>
      <c r="F202" s="15" t="s">
        <v>224</v>
      </c>
      <c r="G202" s="14" t="s">
        <v>225</v>
      </c>
      <c r="H202" s="15" t="s">
        <v>226</v>
      </c>
      <c r="I202" s="15" t="s">
        <v>129</v>
      </c>
      <c r="J202" s="15" t="n">
        <v>8</v>
      </c>
    </row>
    <row r="203" customFormat="false" ht="15" hidden="false" customHeight="false" outlineLevel="0" collapsed="false">
      <c r="A203" s="14" t="s">
        <v>617</v>
      </c>
      <c r="B203" s="15" t="s">
        <v>564</v>
      </c>
      <c r="C203" s="14" t="s">
        <v>155</v>
      </c>
      <c r="D203" s="14" t="s">
        <v>201</v>
      </c>
      <c r="E203" s="14" t="s">
        <v>460</v>
      </c>
      <c r="F203" s="15" t="s">
        <v>461</v>
      </c>
      <c r="G203" s="14" t="s">
        <v>462</v>
      </c>
      <c r="H203" s="15" t="s">
        <v>463</v>
      </c>
      <c r="I203" s="15" t="s">
        <v>228</v>
      </c>
      <c r="J203" s="15" t="n">
        <v>7</v>
      </c>
    </row>
    <row r="204" customFormat="false" ht="15" hidden="false" customHeight="false" outlineLevel="0" collapsed="false">
      <c r="A204" s="14" t="s">
        <v>618</v>
      </c>
      <c r="B204" s="15" t="s">
        <v>564</v>
      </c>
      <c r="C204" s="14" t="s">
        <v>155</v>
      </c>
      <c r="D204" s="14" t="s">
        <v>201</v>
      </c>
      <c r="E204" s="14" t="s">
        <v>356</v>
      </c>
      <c r="F204" s="15" t="s">
        <v>262</v>
      </c>
      <c r="G204" s="14" t="s">
        <v>357</v>
      </c>
      <c r="H204" s="15" t="s">
        <v>358</v>
      </c>
      <c r="I204" s="15" t="s">
        <v>265</v>
      </c>
      <c r="J204" s="15" t="n">
        <v>12</v>
      </c>
    </row>
    <row r="205" customFormat="false" ht="15" hidden="false" customHeight="false" outlineLevel="0" collapsed="false">
      <c r="A205" s="14" t="s">
        <v>619</v>
      </c>
      <c r="B205" s="15" t="s">
        <v>564</v>
      </c>
      <c r="C205" s="14" t="s">
        <v>155</v>
      </c>
      <c r="D205" s="14" t="s">
        <v>201</v>
      </c>
      <c r="E205" s="14" t="s">
        <v>620</v>
      </c>
      <c r="F205" s="15" t="s">
        <v>321</v>
      </c>
      <c r="G205" s="14" t="s">
        <v>209</v>
      </c>
      <c r="H205" s="15" t="s">
        <v>210</v>
      </c>
      <c r="I205" s="15" t="s">
        <v>147</v>
      </c>
      <c r="J205" s="15" t="n">
        <v>8</v>
      </c>
    </row>
    <row r="206" customFormat="false" ht="15" hidden="false" customHeight="false" outlineLevel="0" collapsed="false">
      <c r="A206" s="14" t="s">
        <v>621</v>
      </c>
      <c r="B206" s="15" t="s">
        <v>564</v>
      </c>
      <c r="C206" s="14" t="s">
        <v>155</v>
      </c>
      <c r="D206" s="14" t="s">
        <v>201</v>
      </c>
      <c r="E206" s="14" t="s">
        <v>479</v>
      </c>
      <c r="F206" s="15" t="s">
        <v>480</v>
      </c>
      <c r="G206" s="14" t="s">
        <v>190</v>
      </c>
      <c r="H206" s="15" t="s">
        <v>191</v>
      </c>
      <c r="I206" s="15" t="s">
        <v>153</v>
      </c>
      <c r="J206" s="15" t="n">
        <v>19</v>
      </c>
    </row>
    <row r="207" customFormat="false" ht="15" hidden="false" customHeight="false" outlineLevel="0" collapsed="false">
      <c r="A207" s="14" t="s">
        <v>622</v>
      </c>
      <c r="B207" s="15" t="s">
        <v>564</v>
      </c>
      <c r="C207" s="14" t="s">
        <v>195</v>
      </c>
      <c r="D207" s="14" t="s">
        <v>201</v>
      </c>
      <c r="E207" s="14" t="s">
        <v>196</v>
      </c>
      <c r="F207" s="15" t="s">
        <v>197</v>
      </c>
      <c r="G207" s="14" t="s">
        <v>198</v>
      </c>
      <c r="H207" s="15" t="s">
        <v>199</v>
      </c>
      <c r="I207" s="15" t="s">
        <v>92</v>
      </c>
      <c r="J207" s="15" t="n">
        <v>13</v>
      </c>
    </row>
    <row r="208" customFormat="false" ht="15" hidden="false" customHeight="false" outlineLevel="0" collapsed="false">
      <c r="A208" s="14" t="s">
        <v>623</v>
      </c>
      <c r="B208" s="15" t="s">
        <v>564</v>
      </c>
      <c r="C208" s="14" t="s">
        <v>237</v>
      </c>
      <c r="D208" s="14" t="s">
        <v>238</v>
      </c>
      <c r="E208" s="14" t="s">
        <v>624</v>
      </c>
      <c r="F208" s="15" t="s">
        <v>240</v>
      </c>
      <c r="G208" s="14" t="s">
        <v>317</v>
      </c>
      <c r="H208" s="15" t="s">
        <v>318</v>
      </c>
      <c r="I208" s="15" t="s">
        <v>158</v>
      </c>
      <c r="J208" s="15" t="n">
        <v>11</v>
      </c>
    </row>
    <row r="209" customFormat="false" ht="15" hidden="false" customHeight="false" outlineLevel="0" collapsed="false">
      <c r="A209" s="14" t="s">
        <v>625</v>
      </c>
      <c r="B209" s="15" t="s">
        <v>564</v>
      </c>
      <c r="C209" s="14" t="s">
        <v>237</v>
      </c>
      <c r="D209" s="14" t="s">
        <v>238</v>
      </c>
      <c r="E209" s="14" t="s">
        <v>395</v>
      </c>
      <c r="F209" s="15" t="s">
        <v>396</v>
      </c>
      <c r="G209" s="14" t="s">
        <v>397</v>
      </c>
      <c r="H209" s="15" t="s">
        <v>398</v>
      </c>
      <c r="I209" s="15" t="s">
        <v>92</v>
      </c>
      <c r="J209" s="15" t="n">
        <v>25</v>
      </c>
    </row>
    <row r="210" customFormat="false" ht="15" hidden="false" customHeight="false" outlineLevel="0" collapsed="false">
      <c r="A210" s="14" t="s">
        <v>626</v>
      </c>
      <c r="B210" s="15" t="s">
        <v>564</v>
      </c>
      <c r="C210" s="14" t="s">
        <v>237</v>
      </c>
      <c r="D210" s="14" t="s">
        <v>274</v>
      </c>
      <c r="E210" s="14" t="s">
        <v>627</v>
      </c>
      <c r="F210" s="15" t="s">
        <v>286</v>
      </c>
      <c r="G210" s="14" t="s">
        <v>241</v>
      </c>
      <c r="H210" s="15" t="s">
        <v>242</v>
      </c>
      <c r="I210" s="15" t="s">
        <v>99</v>
      </c>
      <c r="J210" s="15" t="n">
        <v>22</v>
      </c>
    </row>
    <row r="211" customFormat="false" ht="15" hidden="false" customHeight="false" outlineLevel="0" collapsed="false">
      <c r="A211" s="14" t="s">
        <v>628</v>
      </c>
      <c r="B211" s="15" t="s">
        <v>564</v>
      </c>
      <c r="C211" s="14" t="s">
        <v>237</v>
      </c>
      <c r="D211" s="14" t="s">
        <v>238</v>
      </c>
      <c r="E211" s="14" t="s">
        <v>420</v>
      </c>
      <c r="F211" s="15" t="s">
        <v>421</v>
      </c>
      <c r="G211" s="14" t="s">
        <v>103</v>
      </c>
      <c r="H211" s="15" t="s">
        <v>104</v>
      </c>
      <c r="I211" s="15" t="s">
        <v>105</v>
      </c>
      <c r="J211" s="15" t="n">
        <v>15</v>
      </c>
    </row>
    <row r="212" customFormat="false" ht="15" hidden="false" customHeight="false" outlineLevel="0" collapsed="false">
      <c r="A212" s="14" t="s">
        <v>629</v>
      </c>
      <c r="B212" s="15" t="s">
        <v>564</v>
      </c>
      <c r="C212" s="14" t="s">
        <v>237</v>
      </c>
      <c r="D212" s="14" t="s">
        <v>238</v>
      </c>
      <c r="E212" s="14" t="s">
        <v>630</v>
      </c>
      <c r="F212" s="15" t="s">
        <v>631</v>
      </c>
      <c r="G212" s="14" t="s">
        <v>178</v>
      </c>
      <c r="H212" s="15" t="s">
        <v>179</v>
      </c>
      <c r="I212" s="15" t="s">
        <v>632</v>
      </c>
      <c r="J212" s="15" t="n">
        <v>26</v>
      </c>
    </row>
    <row r="213" customFormat="false" ht="15" hidden="false" customHeight="false" outlineLevel="0" collapsed="false">
      <c r="A213" s="14" t="s">
        <v>633</v>
      </c>
      <c r="B213" s="15" t="s">
        <v>564</v>
      </c>
      <c r="C213" s="14" t="s">
        <v>237</v>
      </c>
      <c r="D213" s="14" t="s">
        <v>238</v>
      </c>
      <c r="E213" s="14" t="s">
        <v>439</v>
      </c>
      <c r="F213" s="15" t="s">
        <v>361</v>
      </c>
      <c r="G213" s="14" t="s">
        <v>246</v>
      </c>
      <c r="H213" s="15" t="s">
        <v>247</v>
      </c>
      <c r="I213" s="15" t="s">
        <v>265</v>
      </c>
      <c r="J213" s="15" t="n">
        <v>7</v>
      </c>
    </row>
    <row r="214" customFormat="false" ht="15" hidden="false" customHeight="false" outlineLevel="0" collapsed="false">
      <c r="A214" s="14" t="s">
        <v>634</v>
      </c>
      <c r="B214" s="15" t="s">
        <v>564</v>
      </c>
      <c r="C214" s="14" t="s">
        <v>237</v>
      </c>
      <c r="D214" s="14" t="s">
        <v>238</v>
      </c>
      <c r="E214" s="14" t="s">
        <v>635</v>
      </c>
      <c r="F214" s="15" t="s">
        <v>217</v>
      </c>
      <c r="G214" s="14" t="s">
        <v>271</v>
      </c>
      <c r="H214" s="15" t="s">
        <v>272</v>
      </c>
      <c r="I214" s="15" t="s">
        <v>135</v>
      </c>
      <c r="J214" s="15" t="n">
        <v>13</v>
      </c>
    </row>
    <row r="215" customFormat="false" ht="15" hidden="false" customHeight="false" outlineLevel="0" collapsed="false">
      <c r="A215" s="14" t="s">
        <v>636</v>
      </c>
      <c r="B215" s="15" t="s">
        <v>564</v>
      </c>
      <c r="C215" s="14" t="s">
        <v>237</v>
      </c>
      <c r="D215" s="14" t="s">
        <v>238</v>
      </c>
      <c r="E215" s="14" t="s">
        <v>483</v>
      </c>
      <c r="F215" s="15" t="s">
        <v>388</v>
      </c>
      <c r="G215" s="14" t="s">
        <v>357</v>
      </c>
      <c r="H215" s="15" t="s">
        <v>358</v>
      </c>
      <c r="I215" s="15" t="s">
        <v>141</v>
      </c>
      <c r="J215" s="15" t="n">
        <v>11</v>
      </c>
    </row>
    <row r="216" customFormat="false" ht="15" hidden="false" customHeight="false" outlineLevel="0" collapsed="false">
      <c r="A216" s="14" t="s">
        <v>637</v>
      </c>
      <c r="B216" s="15" t="s">
        <v>564</v>
      </c>
      <c r="C216" s="14" t="s">
        <v>237</v>
      </c>
      <c r="D216" s="14" t="s">
        <v>238</v>
      </c>
      <c r="E216" s="14" t="s">
        <v>638</v>
      </c>
      <c r="F216" s="15" t="s">
        <v>138</v>
      </c>
      <c r="G216" s="14" t="s">
        <v>287</v>
      </c>
      <c r="H216" s="15" t="s">
        <v>288</v>
      </c>
      <c r="I216" s="15" t="s">
        <v>153</v>
      </c>
      <c r="J216" s="15" t="n">
        <v>10</v>
      </c>
    </row>
    <row r="217" customFormat="false" ht="15" hidden="false" customHeight="false" outlineLevel="0" collapsed="false">
      <c r="A217" s="14" t="s">
        <v>639</v>
      </c>
      <c r="B217" s="15" t="s">
        <v>564</v>
      </c>
      <c r="C217" s="14" t="s">
        <v>274</v>
      </c>
      <c r="D217" s="14" t="s">
        <v>238</v>
      </c>
      <c r="E217" s="14" t="s">
        <v>299</v>
      </c>
      <c r="F217" s="15" t="s">
        <v>150</v>
      </c>
      <c r="G217" s="14" t="s">
        <v>276</v>
      </c>
      <c r="H217" s="15" t="s">
        <v>277</v>
      </c>
      <c r="I217" s="15" t="s">
        <v>640</v>
      </c>
      <c r="J217" s="15" t="n">
        <v>9</v>
      </c>
    </row>
    <row r="218" customFormat="false" ht="15" hidden="false" customHeight="false" outlineLevel="0" collapsed="false">
      <c r="A218" s="14" t="s">
        <v>641</v>
      </c>
      <c r="B218" s="15" t="s">
        <v>564</v>
      </c>
      <c r="C218" s="14" t="s">
        <v>238</v>
      </c>
      <c r="D218" s="14" t="s">
        <v>279</v>
      </c>
      <c r="E218" s="14" t="s">
        <v>207</v>
      </c>
      <c r="F218" s="15" t="s">
        <v>208</v>
      </c>
      <c r="G218" s="14" t="s">
        <v>209</v>
      </c>
      <c r="H218" s="15" t="s">
        <v>210</v>
      </c>
      <c r="I218" s="15" t="s">
        <v>158</v>
      </c>
      <c r="J218" s="15" t="n">
        <v>12</v>
      </c>
    </row>
    <row r="219" customFormat="false" ht="15" hidden="false" customHeight="false" outlineLevel="0" collapsed="false">
      <c r="A219" s="14" t="s">
        <v>642</v>
      </c>
      <c r="B219" s="15" t="s">
        <v>564</v>
      </c>
      <c r="C219" s="14" t="s">
        <v>238</v>
      </c>
      <c r="D219" s="14" t="s">
        <v>293</v>
      </c>
      <c r="E219" s="14" t="s">
        <v>523</v>
      </c>
      <c r="F219" s="15" t="s">
        <v>295</v>
      </c>
      <c r="G219" s="14" t="s">
        <v>296</v>
      </c>
      <c r="H219" s="15" t="s">
        <v>297</v>
      </c>
      <c r="I219" s="15" t="s">
        <v>92</v>
      </c>
      <c r="J219" s="15" t="n">
        <v>26</v>
      </c>
    </row>
    <row r="220" customFormat="false" ht="15" hidden="false" customHeight="false" outlineLevel="0" collapsed="false">
      <c r="A220" s="14" t="s">
        <v>643</v>
      </c>
      <c r="B220" s="15" t="s">
        <v>564</v>
      </c>
      <c r="C220" s="14" t="s">
        <v>238</v>
      </c>
      <c r="D220" s="14" t="s">
        <v>279</v>
      </c>
      <c r="E220" s="14" t="s">
        <v>644</v>
      </c>
      <c r="F220" s="15" t="s">
        <v>313</v>
      </c>
      <c r="G220" s="14" t="s">
        <v>332</v>
      </c>
      <c r="H220" s="15" t="s">
        <v>333</v>
      </c>
      <c r="I220" s="15" t="s">
        <v>99</v>
      </c>
      <c r="J220" s="15" t="n">
        <v>11</v>
      </c>
    </row>
    <row r="221" customFormat="false" ht="15" hidden="false" customHeight="false" outlineLevel="0" collapsed="false">
      <c r="A221" s="14" t="s">
        <v>645</v>
      </c>
      <c r="B221" s="15" t="s">
        <v>564</v>
      </c>
      <c r="C221" s="14" t="s">
        <v>238</v>
      </c>
      <c r="D221" s="14" t="s">
        <v>279</v>
      </c>
      <c r="E221" s="14" t="s">
        <v>275</v>
      </c>
      <c r="F221" s="15" t="s">
        <v>184</v>
      </c>
      <c r="G221" s="14" t="s">
        <v>276</v>
      </c>
      <c r="H221" s="15" t="s">
        <v>277</v>
      </c>
      <c r="I221" s="15" t="s">
        <v>105</v>
      </c>
      <c r="J221" s="15" t="n">
        <v>6</v>
      </c>
    </row>
    <row r="222" customFormat="false" ht="15" hidden="false" customHeight="false" outlineLevel="0" collapsed="false">
      <c r="A222" s="14" t="s">
        <v>646</v>
      </c>
      <c r="B222" s="15" t="s">
        <v>564</v>
      </c>
      <c r="C222" s="14" t="s">
        <v>238</v>
      </c>
      <c r="D222" s="14" t="s">
        <v>279</v>
      </c>
      <c r="E222" s="14" t="s">
        <v>323</v>
      </c>
      <c r="F222" s="15" t="s">
        <v>177</v>
      </c>
      <c r="G222" s="14" t="s">
        <v>246</v>
      </c>
      <c r="H222" s="15" t="s">
        <v>247</v>
      </c>
      <c r="I222" s="15" t="s">
        <v>111</v>
      </c>
      <c r="J222" s="15" t="n">
        <v>38</v>
      </c>
    </row>
    <row r="223" customFormat="false" ht="15" hidden="false" customHeight="false" outlineLevel="0" collapsed="false">
      <c r="A223" s="14" t="s">
        <v>647</v>
      </c>
      <c r="B223" s="15" t="s">
        <v>564</v>
      </c>
      <c r="C223" s="14" t="s">
        <v>238</v>
      </c>
      <c r="D223" s="14" t="s">
        <v>279</v>
      </c>
      <c r="E223" s="14" t="s">
        <v>509</v>
      </c>
      <c r="F223" s="15" t="s">
        <v>424</v>
      </c>
      <c r="G223" s="14" t="s">
        <v>168</v>
      </c>
      <c r="H223" s="15" t="s">
        <v>169</v>
      </c>
      <c r="I223" s="15" t="s">
        <v>353</v>
      </c>
      <c r="J223" s="15" t="n">
        <v>13</v>
      </c>
    </row>
    <row r="224" customFormat="false" ht="15" hidden="false" customHeight="false" outlineLevel="0" collapsed="false">
      <c r="A224" s="14" t="s">
        <v>648</v>
      </c>
      <c r="B224" s="15" t="s">
        <v>564</v>
      </c>
      <c r="C224" s="14" t="s">
        <v>238</v>
      </c>
      <c r="D224" s="14" t="s">
        <v>279</v>
      </c>
      <c r="E224" s="14" t="s">
        <v>649</v>
      </c>
      <c r="F224" s="15" t="s">
        <v>303</v>
      </c>
      <c r="G224" s="14" t="s">
        <v>271</v>
      </c>
      <c r="H224" s="15" t="s">
        <v>272</v>
      </c>
      <c r="I224" s="15" t="s">
        <v>123</v>
      </c>
      <c r="J224" s="15" t="n">
        <v>8</v>
      </c>
    </row>
    <row r="225" customFormat="false" ht="15" hidden="false" customHeight="false" outlineLevel="0" collapsed="false">
      <c r="A225" s="14" t="s">
        <v>650</v>
      </c>
      <c r="B225" s="15" t="s">
        <v>564</v>
      </c>
      <c r="C225" s="14" t="s">
        <v>238</v>
      </c>
      <c r="D225" s="14" t="s">
        <v>293</v>
      </c>
      <c r="E225" s="14" t="s">
        <v>285</v>
      </c>
      <c r="F225" s="15" t="s">
        <v>286</v>
      </c>
      <c r="G225" s="14" t="s">
        <v>287</v>
      </c>
      <c r="H225" s="15" t="s">
        <v>288</v>
      </c>
      <c r="I225" s="15" t="s">
        <v>135</v>
      </c>
      <c r="J225" s="15" t="n">
        <v>15</v>
      </c>
    </row>
    <row r="226" customFormat="false" ht="15" hidden="false" customHeight="false" outlineLevel="0" collapsed="false">
      <c r="A226" s="14" t="s">
        <v>651</v>
      </c>
      <c r="B226" s="15" t="s">
        <v>564</v>
      </c>
      <c r="C226" s="14" t="s">
        <v>293</v>
      </c>
      <c r="D226" s="14" t="s">
        <v>279</v>
      </c>
      <c r="E226" s="14" t="s">
        <v>652</v>
      </c>
      <c r="F226" s="15" t="s">
        <v>286</v>
      </c>
      <c r="G226" s="14" t="s">
        <v>241</v>
      </c>
      <c r="H226" s="15" t="s">
        <v>242</v>
      </c>
      <c r="I226" s="15" t="s">
        <v>214</v>
      </c>
      <c r="J226" s="15" t="n">
        <v>17</v>
      </c>
    </row>
    <row r="227" customFormat="false" ht="15" hidden="false" customHeight="false" outlineLevel="0" collapsed="false">
      <c r="A227" s="14" t="s">
        <v>653</v>
      </c>
      <c r="B227" s="15" t="s">
        <v>564</v>
      </c>
      <c r="C227" s="14" t="s">
        <v>293</v>
      </c>
      <c r="D227" s="14" t="s">
        <v>279</v>
      </c>
      <c r="E227" s="14" t="s">
        <v>654</v>
      </c>
      <c r="F227" s="15" t="s">
        <v>286</v>
      </c>
      <c r="G227" s="14" t="s">
        <v>287</v>
      </c>
      <c r="H227" s="15" t="s">
        <v>288</v>
      </c>
      <c r="I227" s="15" t="s">
        <v>135</v>
      </c>
      <c r="J227" s="15" t="n">
        <v>12</v>
      </c>
    </row>
    <row r="228" customFormat="false" ht="15" hidden="false" customHeight="false" outlineLevel="0" collapsed="false">
      <c r="A228" s="14" t="s">
        <v>655</v>
      </c>
      <c r="B228" s="15" t="s">
        <v>564</v>
      </c>
      <c r="C228" s="14" t="s">
        <v>279</v>
      </c>
      <c r="D228" s="14" t="s">
        <v>325</v>
      </c>
      <c r="E228" s="14" t="s">
        <v>656</v>
      </c>
      <c r="F228" s="15" t="s">
        <v>657</v>
      </c>
      <c r="G228" s="14" t="s">
        <v>263</v>
      </c>
      <c r="H228" s="15" t="s">
        <v>264</v>
      </c>
      <c r="I228" s="15" t="s">
        <v>328</v>
      </c>
      <c r="J228" s="15" t="n">
        <v>10</v>
      </c>
    </row>
    <row r="229" customFormat="false" ht="15" hidden="false" customHeight="false" outlineLevel="0" collapsed="false">
      <c r="A229" s="14" t="s">
        <v>658</v>
      </c>
      <c r="B229" s="15" t="s">
        <v>564</v>
      </c>
      <c r="C229" s="14" t="s">
        <v>325</v>
      </c>
      <c r="D229" s="14" t="s">
        <v>559</v>
      </c>
      <c r="E229" s="14" t="s">
        <v>659</v>
      </c>
      <c r="F229" s="15" t="s">
        <v>660</v>
      </c>
      <c r="G229" s="14" t="s">
        <v>263</v>
      </c>
      <c r="H229" s="15" t="s">
        <v>264</v>
      </c>
      <c r="I229" s="15" t="s">
        <v>328</v>
      </c>
      <c r="J229" s="15" t="n">
        <v>10</v>
      </c>
    </row>
    <row r="230" customFormat="false" ht="15" hidden="false" customHeight="false" outlineLevel="0" collapsed="false">
      <c r="A230" s="14" t="s">
        <v>661</v>
      </c>
      <c r="B230" s="15" t="s">
        <v>662</v>
      </c>
      <c r="C230" s="14" t="s">
        <v>86</v>
      </c>
      <c r="D230" s="14" t="s">
        <v>87</v>
      </c>
      <c r="E230" s="14" t="s">
        <v>567</v>
      </c>
      <c r="F230" s="15" t="s">
        <v>108</v>
      </c>
      <c r="G230" s="14" t="s">
        <v>109</v>
      </c>
      <c r="H230" s="15" t="s">
        <v>110</v>
      </c>
      <c r="I230" s="15" t="s">
        <v>92</v>
      </c>
      <c r="J230" s="15" t="n">
        <v>15</v>
      </c>
    </row>
    <row r="231" customFormat="false" ht="15" hidden="false" customHeight="false" outlineLevel="0" collapsed="false">
      <c r="A231" s="14" t="s">
        <v>663</v>
      </c>
      <c r="B231" s="15" t="s">
        <v>662</v>
      </c>
      <c r="C231" s="14" t="s">
        <v>86</v>
      </c>
      <c r="D231" s="14" t="s">
        <v>87</v>
      </c>
      <c r="E231" s="14" t="s">
        <v>576</v>
      </c>
      <c r="F231" s="15" t="s">
        <v>126</v>
      </c>
      <c r="G231" s="14" t="s">
        <v>127</v>
      </c>
      <c r="H231" s="15" t="s">
        <v>128</v>
      </c>
      <c r="I231" s="15" t="s">
        <v>99</v>
      </c>
      <c r="J231" s="15" t="n">
        <v>15</v>
      </c>
    </row>
    <row r="232" customFormat="false" ht="15" hidden="false" customHeight="false" outlineLevel="0" collapsed="false">
      <c r="A232" s="14" t="s">
        <v>664</v>
      </c>
      <c r="B232" s="15" t="s">
        <v>662</v>
      </c>
      <c r="C232" s="14" t="s">
        <v>86</v>
      </c>
      <c r="D232" s="14" t="s">
        <v>87</v>
      </c>
      <c r="E232" s="14" t="s">
        <v>375</v>
      </c>
      <c r="F232" s="15" t="s">
        <v>376</v>
      </c>
      <c r="G232" s="14" t="s">
        <v>115</v>
      </c>
      <c r="H232" s="15" t="s">
        <v>116</v>
      </c>
      <c r="I232" s="15" t="s">
        <v>111</v>
      </c>
      <c r="J232" s="15" t="n">
        <v>5</v>
      </c>
    </row>
    <row r="233" customFormat="false" ht="15" hidden="false" customHeight="false" outlineLevel="0" collapsed="false">
      <c r="A233" s="14" t="s">
        <v>665</v>
      </c>
      <c r="B233" s="15" t="s">
        <v>662</v>
      </c>
      <c r="C233" s="14" t="s">
        <v>86</v>
      </c>
      <c r="D233" s="14" t="s">
        <v>87</v>
      </c>
      <c r="E233" s="14" t="s">
        <v>119</v>
      </c>
      <c r="F233" s="15" t="s">
        <v>120</v>
      </c>
      <c r="G233" s="14" t="s">
        <v>121</v>
      </c>
      <c r="H233" s="15" t="s">
        <v>122</v>
      </c>
      <c r="I233" s="15" t="s">
        <v>344</v>
      </c>
      <c r="J233" s="15" t="n">
        <v>12</v>
      </c>
    </row>
    <row r="234" customFormat="false" ht="15" hidden="false" customHeight="false" outlineLevel="0" collapsed="false">
      <c r="A234" s="14" t="s">
        <v>666</v>
      </c>
      <c r="B234" s="15" t="s">
        <v>662</v>
      </c>
      <c r="C234" s="14" t="s">
        <v>86</v>
      </c>
      <c r="D234" s="14" t="s">
        <v>87</v>
      </c>
      <c r="E234" s="14" t="s">
        <v>586</v>
      </c>
      <c r="F234" s="15" t="s">
        <v>516</v>
      </c>
      <c r="G234" s="14" t="s">
        <v>173</v>
      </c>
      <c r="H234" s="15" t="s">
        <v>174</v>
      </c>
      <c r="I234" s="15" t="s">
        <v>632</v>
      </c>
      <c r="J234" s="15" t="n">
        <v>11</v>
      </c>
    </row>
    <row r="235" customFormat="false" ht="15" hidden="false" customHeight="false" outlineLevel="0" collapsed="false">
      <c r="A235" s="14" t="s">
        <v>667</v>
      </c>
      <c r="B235" s="15" t="s">
        <v>662</v>
      </c>
      <c r="C235" s="14" t="s">
        <v>86</v>
      </c>
      <c r="D235" s="14" t="s">
        <v>87</v>
      </c>
      <c r="E235" s="14" t="s">
        <v>668</v>
      </c>
      <c r="F235" s="15" t="s">
        <v>268</v>
      </c>
      <c r="G235" s="14" t="s">
        <v>145</v>
      </c>
      <c r="H235" s="15" t="s">
        <v>146</v>
      </c>
      <c r="I235" s="15" t="s">
        <v>135</v>
      </c>
      <c r="J235" s="15" t="n">
        <v>13</v>
      </c>
    </row>
    <row r="236" customFormat="false" ht="15" hidden="false" customHeight="false" outlineLevel="0" collapsed="false">
      <c r="A236" s="14" t="s">
        <v>669</v>
      </c>
      <c r="B236" s="15" t="s">
        <v>662</v>
      </c>
      <c r="C236" s="14" t="s">
        <v>86</v>
      </c>
      <c r="D236" s="14" t="s">
        <v>87</v>
      </c>
      <c r="E236" s="14" t="s">
        <v>670</v>
      </c>
      <c r="F236" s="15" t="s">
        <v>361</v>
      </c>
      <c r="G236" s="14" t="s">
        <v>97</v>
      </c>
      <c r="H236" s="15" t="s">
        <v>98</v>
      </c>
      <c r="I236" s="15" t="s">
        <v>141</v>
      </c>
      <c r="J236" s="15" t="n">
        <v>11</v>
      </c>
    </row>
    <row r="237" customFormat="false" ht="15" hidden="false" customHeight="false" outlineLevel="0" collapsed="false">
      <c r="A237" s="14" t="s">
        <v>671</v>
      </c>
      <c r="B237" s="15" t="s">
        <v>662</v>
      </c>
      <c r="C237" s="14" t="s">
        <v>86</v>
      </c>
      <c r="D237" s="14" t="s">
        <v>87</v>
      </c>
      <c r="E237" s="14" t="s">
        <v>574</v>
      </c>
      <c r="F237" s="15" t="s">
        <v>150</v>
      </c>
      <c r="G237" s="14" t="s">
        <v>151</v>
      </c>
      <c r="H237" s="15" t="s">
        <v>152</v>
      </c>
      <c r="I237" s="15" t="s">
        <v>147</v>
      </c>
      <c r="J237" s="15" t="n">
        <v>14</v>
      </c>
    </row>
    <row r="238" customFormat="false" ht="15" hidden="false" customHeight="false" outlineLevel="0" collapsed="false">
      <c r="A238" s="14" t="s">
        <v>672</v>
      </c>
      <c r="B238" s="15" t="s">
        <v>662</v>
      </c>
      <c r="C238" s="14" t="s">
        <v>86</v>
      </c>
      <c r="D238" s="14" t="s">
        <v>94</v>
      </c>
      <c r="E238" s="14" t="s">
        <v>673</v>
      </c>
      <c r="F238" s="15" t="s">
        <v>674</v>
      </c>
      <c r="G238" s="14" t="s">
        <v>332</v>
      </c>
      <c r="H238" s="15" t="s">
        <v>333</v>
      </c>
      <c r="I238" s="15" t="s">
        <v>675</v>
      </c>
      <c r="J238" s="15" t="n">
        <v>17</v>
      </c>
    </row>
    <row r="239" customFormat="false" ht="15" hidden="false" customHeight="false" outlineLevel="0" collapsed="false">
      <c r="A239" s="14" t="s">
        <v>676</v>
      </c>
      <c r="B239" s="15" t="s">
        <v>662</v>
      </c>
      <c r="C239" s="14" t="s">
        <v>94</v>
      </c>
      <c r="D239" s="14" t="s">
        <v>87</v>
      </c>
      <c r="E239" s="14" t="s">
        <v>554</v>
      </c>
      <c r="F239" s="15" t="s">
        <v>96</v>
      </c>
      <c r="G239" s="14" t="s">
        <v>317</v>
      </c>
      <c r="H239" s="15" t="s">
        <v>318</v>
      </c>
      <c r="I239" s="15" t="s">
        <v>105</v>
      </c>
      <c r="J239" s="15" t="n">
        <v>12</v>
      </c>
    </row>
    <row r="240" customFormat="false" ht="15" hidden="false" customHeight="false" outlineLevel="0" collapsed="false">
      <c r="A240" s="14" t="s">
        <v>677</v>
      </c>
      <c r="B240" s="15" t="s">
        <v>662</v>
      </c>
      <c r="C240" s="14" t="s">
        <v>94</v>
      </c>
      <c r="D240" s="14" t="s">
        <v>87</v>
      </c>
      <c r="E240" s="14" t="s">
        <v>349</v>
      </c>
      <c r="F240" s="15" t="s">
        <v>350</v>
      </c>
      <c r="G240" s="14" t="s">
        <v>351</v>
      </c>
      <c r="H240" s="15" t="s">
        <v>352</v>
      </c>
      <c r="I240" s="15" t="s">
        <v>117</v>
      </c>
      <c r="J240" s="15" t="n">
        <v>13</v>
      </c>
    </row>
    <row r="241" customFormat="false" ht="15" hidden="false" customHeight="false" outlineLevel="0" collapsed="false">
      <c r="A241" s="14" t="s">
        <v>678</v>
      </c>
      <c r="B241" s="15" t="s">
        <v>662</v>
      </c>
      <c r="C241" s="14" t="s">
        <v>87</v>
      </c>
      <c r="D241" s="14" t="s">
        <v>155</v>
      </c>
      <c r="E241" s="14" t="s">
        <v>679</v>
      </c>
      <c r="F241" s="15" t="s">
        <v>240</v>
      </c>
      <c r="G241" s="14" t="s">
        <v>173</v>
      </c>
      <c r="H241" s="15" t="s">
        <v>174</v>
      </c>
      <c r="I241" s="15" t="s">
        <v>158</v>
      </c>
      <c r="J241" s="15" t="n">
        <v>11</v>
      </c>
    </row>
    <row r="242" customFormat="false" ht="15" hidden="false" customHeight="false" outlineLevel="0" collapsed="false">
      <c r="A242" s="14" t="s">
        <v>680</v>
      </c>
      <c r="B242" s="15" t="s">
        <v>662</v>
      </c>
      <c r="C242" s="14" t="s">
        <v>87</v>
      </c>
      <c r="D242" s="14" t="s">
        <v>155</v>
      </c>
      <c r="E242" s="14" t="s">
        <v>681</v>
      </c>
      <c r="F242" s="15" t="s">
        <v>373</v>
      </c>
      <c r="G242" s="14" t="s">
        <v>296</v>
      </c>
      <c r="H242" s="15" t="s">
        <v>297</v>
      </c>
      <c r="I242" s="15" t="s">
        <v>214</v>
      </c>
      <c r="J242" s="15" t="n">
        <v>13</v>
      </c>
    </row>
    <row r="243" customFormat="false" ht="15" hidden="false" customHeight="false" outlineLevel="0" collapsed="false">
      <c r="A243" s="14" t="s">
        <v>682</v>
      </c>
      <c r="B243" s="15" t="s">
        <v>662</v>
      </c>
      <c r="C243" s="14" t="s">
        <v>87</v>
      </c>
      <c r="D243" s="14" t="s">
        <v>155</v>
      </c>
      <c r="E243" s="14" t="s">
        <v>683</v>
      </c>
      <c r="F243" s="15" t="s">
        <v>114</v>
      </c>
      <c r="G243" s="14" t="s">
        <v>115</v>
      </c>
      <c r="H243" s="15" t="s">
        <v>116</v>
      </c>
      <c r="I243" s="15" t="s">
        <v>111</v>
      </c>
      <c r="J243" s="15" t="n">
        <v>37</v>
      </c>
    </row>
    <row r="244" customFormat="false" ht="15" hidden="false" customHeight="false" outlineLevel="0" collapsed="false">
      <c r="A244" s="14" t="s">
        <v>684</v>
      </c>
      <c r="B244" s="15" t="s">
        <v>662</v>
      </c>
      <c r="C244" s="14" t="s">
        <v>87</v>
      </c>
      <c r="D244" s="14" t="s">
        <v>155</v>
      </c>
      <c r="E244" s="14" t="s">
        <v>685</v>
      </c>
      <c r="F244" s="15" t="s">
        <v>321</v>
      </c>
      <c r="G244" s="14" t="s">
        <v>178</v>
      </c>
      <c r="H244" s="15" t="s">
        <v>179</v>
      </c>
      <c r="I244" s="15" t="s">
        <v>141</v>
      </c>
      <c r="J244" s="15" t="n">
        <v>12</v>
      </c>
    </row>
    <row r="245" customFormat="false" ht="15" hidden="false" customHeight="false" outlineLevel="0" collapsed="false">
      <c r="A245" s="14" t="s">
        <v>686</v>
      </c>
      <c r="B245" s="15" t="s">
        <v>662</v>
      </c>
      <c r="C245" s="14" t="s">
        <v>87</v>
      </c>
      <c r="D245" s="14" t="s">
        <v>155</v>
      </c>
      <c r="E245" s="14" t="s">
        <v>687</v>
      </c>
      <c r="F245" s="15" t="s">
        <v>138</v>
      </c>
      <c r="G245" s="14" t="s">
        <v>151</v>
      </c>
      <c r="H245" s="15" t="s">
        <v>152</v>
      </c>
      <c r="I245" s="15" t="s">
        <v>147</v>
      </c>
      <c r="J245" s="15" t="n">
        <v>16</v>
      </c>
    </row>
    <row r="246" customFormat="false" ht="15" hidden="false" customHeight="false" outlineLevel="0" collapsed="false">
      <c r="A246" s="14" t="s">
        <v>688</v>
      </c>
      <c r="B246" s="15" t="s">
        <v>662</v>
      </c>
      <c r="C246" s="14" t="s">
        <v>163</v>
      </c>
      <c r="D246" s="14" t="s">
        <v>155</v>
      </c>
      <c r="E246" s="14" t="s">
        <v>689</v>
      </c>
      <c r="F246" s="15" t="s">
        <v>197</v>
      </c>
      <c r="G246" s="14" t="s">
        <v>233</v>
      </c>
      <c r="H246" s="15" t="s">
        <v>234</v>
      </c>
      <c r="I246" s="15" t="s">
        <v>135</v>
      </c>
      <c r="J246" s="15" t="n">
        <v>14</v>
      </c>
    </row>
    <row r="247" customFormat="false" ht="15" hidden="false" customHeight="false" outlineLevel="0" collapsed="false">
      <c r="A247" s="14" t="s">
        <v>690</v>
      </c>
      <c r="B247" s="15" t="s">
        <v>662</v>
      </c>
      <c r="C247" s="14" t="s">
        <v>155</v>
      </c>
      <c r="D247" s="14" t="s">
        <v>201</v>
      </c>
      <c r="E247" s="14" t="s">
        <v>691</v>
      </c>
      <c r="F247" s="15" t="s">
        <v>157</v>
      </c>
      <c r="G247" s="14" t="s">
        <v>173</v>
      </c>
      <c r="H247" s="15" t="s">
        <v>174</v>
      </c>
      <c r="I247" s="15" t="s">
        <v>158</v>
      </c>
      <c r="J247" s="15" t="n">
        <v>16</v>
      </c>
    </row>
    <row r="248" customFormat="false" ht="15" hidden="false" customHeight="false" outlineLevel="0" collapsed="false">
      <c r="A248" s="14" t="s">
        <v>692</v>
      </c>
      <c r="B248" s="15" t="s">
        <v>662</v>
      </c>
      <c r="C248" s="14" t="s">
        <v>155</v>
      </c>
      <c r="D248" s="14" t="s">
        <v>195</v>
      </c>
      <c r="E248" s="14" t="s">
        <v>212</v>
      </c>
      <c r="F248" s="15" t="s">
        <v>213</v>
      </c>
      <c r="G248" s="14" t="s">
        <v>190</v>
      </c>
      <c r="H248" s="15" t="s">
        <v>191</v>
      </c>
      <c r="I248" s="15" t="s">
        <v>92</v>
      </c>
      <c r="J248" s="15" t="n">
        <v>18</v>
      </c>
    </row>
    <row r="249" customFormat="false" ht="15" hidden="false" customHeight="false" outlineLevel="0" collapsed="false">
      <c r="A249" s="14" t="s">
        <v>693</v>
      </c>
      <c r="B249" s="15" t="s">
        <v>662</v>
      </c>
      <c r="C249" s="14" t="s">
        <v>155</v>
      </c>
      <c r="D249" s="14" t="s">
        <v>195</v>
      </c>
      <c r="E249" s="14" t="s">
        <v>694</v>
      </c>
      <c r="F249" s="15" t="s">
        <v>350</v>
      </c>
      <c r="G249" s="14" t="s">
        <v>351</v>
      </c>
      <c r="H249" s="15" t="s">
        <v>352</v>
      </c>
      <c r="I249" s="15" t="s">
        <v>214</v>
      </c>
      <c r="J249" s="15" t="n">
        <v>8</v>
      </c>
    </row>
    <row r="250" customFormat="false" ht="15" hidden="false" customHeight="false" outlineLevel="0" collapsed="false">
      <c r="A250" s="14" t="s">
        <v>695</v>
      </c>
      <c r="B250" s="15" t="s">
        <v>662</v>
      </c>
      <c r="C250" s="14" t="s">
        <v>155</v>
      </c>
      <c r="D250" s="14" t="s">
        <v>195</v>
      </c>
      <c r="E250" s="14" t="s">
        <v>232</v>
      </c>
      <c r="F250" s="15" t="s">
        <v>197</v>
      </c>
      <c r="G250" s="14" t="s">
        <v>233</v>
      </c>
      <c r="H250" s="15" t="s">
        <v>234</v>
      </c>
      <c r="I250" s="15" t="s">
        <v>111</v>
      </c>
      <c r="J250" s="15" t="n">
        <v>12</v>
      </c>
    </row>
    <row r="251" customFormat="false" ht="15" hidden="false" customHeight="false" outlineLevel="0" collapsed="false">
      <c r="A251" s="14" t="s">
        <v>696</v>
      </c>
      <c r="B251" s="15" t="s">
        <v>662</v>
      </c>
      <c r="C251" s="14" t="s">
        <v>155</v>
      </c>
      <c r="D251" s="14" t="s">
        <v>201</v>
      </c>
      <c r="E251" s="14" t="s">
        <v>339</v>
      </c>
      <c r="F251" s="15" t="s">
        <v>340</v>
      </c>
      <c r="G251" s="14" t="s">
        <v>115</v>
      </c>
      <c r="H251" s="15" t="s">
        <v>116</v>
      </c>
      <c r="I251" s="15" t="s">
        <v>344</v>
      </c>
      <c r="J251" s="15" t="n">
        <v>33</v>
      </c>
    </row>
    <row r="252" customFormat="false" ht="15" hidden="false" customHeight="false" outlineLevel="0" collapsed="false">
      <c r="A252" s="14" t="s">
        <v>697</v>
      </c>
      <c r="B252" s="15" t="s">
        <v>662</v>
      </c>
      <c r="C252" s="14" t="s">
        <v>155</v>
      </c>
      <c r="D252" s="14" t="s">
        <v>201</v>
      </c>
      <c r="E252" s="14" t="s">
        <v>630</v>
      </c>
      <c r="F252" s="15" t="s">
        <v>631</v>
      </c>
      <c r="G252" s="14" t="s">
        <v>178</v>
      </c>
      <c r="H252" s="15" t="s">
        <v>179</v>
      </c>
      <c r="I252" s="15" t="s">
        <v>698</v>
      </c>
      <c r="J252" s="15" t="n">
        <v>26</v>
      </c>
    </row>
    <row r="253" customFormat="false" ht="15" hidden="false" customHeight="false" outlineLevel="0" collapsed="false">
      <c r="A253" s="14" t="s">
        <v>699</v>
      </c>
      <c r="B253" s="15" t="s">
        <v>662</v>
      </c>
      <c r="C253" s="14" t="s">
        <v>155</v>
      </c>
      <c r="D253" s="14" t="s">
        <v>201</v>
      </c>
      <c r="E253" s="14" t="s">
        <v>700</v>
      </c>
      <c r="F253" s="15" t="s">
        <v>203</v>
      </c>
      <c r="G253" s="14" t="s">
        <v>462</v>
      </c>
      <c r="H253" s="15" t="s">
        <v>463</v>
      </c>
      <c r="I253" s="15" t="s">
        <v>228</v>
      </c>
      <c r="J253" s="15" t="n">
        <v>10</v>
      </c>
    </row>
    <row r="254" customFormat="false" ht="15" hidden="false" customHeight="false" outlineLevel="0" collapsed="false">
      <c r="A254" s="14" t="s">
        <v>701</v>
      </c>
      <c r="B254" s="15" t="s">
        <v>662</v>
      </c>
      <c r="C254" s="14" t="s">
        <v>155</v>
      </c>
      <c r="D254" s="14" t="s">
        <v>195</v>
      </c>
      <c r="E254" s="14" t="s">
        <v>505</v>
      </c>
      <c r="F254" s="15" t="s">
        <v>262</v>
      </c>
      <c r="G254" s="14" t="s">
        <v>357</v>
      </c>
      <c r="H254" s="15" t="s">
        <v>358</v>
      </c>
      <c r="I254" s="15" t="s">
        <v>265</v>
      </c>
      <c r="J254" s="15" t="n">
        <v>12</v>
      </c>
    </row>
    <row r="255" customFormat="false" ht="15" hidden="false" customHeight="false" outlineLevel="0" collapsed="false">
      <c r="A255" s="14" t="s">
        <v>702</v>
      </c>
      <c r="B255" s="15" t="s">
        <v>662</v>
      </c>
      <c r="C255" s="14" t="s">
        <v>155</v>
      </c>
      <c r="D255" s="14" t="s">
        <v>201</v>
      </c>
      <c r="E255" s="14" t="s">
        <v>703</v>
      </c>
      <c r="F255" s="15" t="s">
        <v>96</v>
      </c>
      <c r="G255" s="14" t="s">
        <v>225</v>
      </c>
      <c r="H255" s="15" t="s">
        <v>226</v>
      </c>
      <c r="I255" s="15" t="s">
        <v>135</v>
      </c>
      <c r="J255" s="15" t="n">
        <v>11</v>
      </c>
    </row>
    <row r="256" customFormat="false" ht="15" hidden="false" customHeight="false" outlineLevel="0" collapsed="false">
      <c r="A256" s="14" t="s">
        <v>704</v>
      </c>
      <c r="B256" s="15" t="s">
        <v>662</v>
      </c>
      <c r="C256" s="14" t="s">
        <v>155</v>
      </c>
      <c r="D256" s="14" t="s">
        <v>201</v>
      </c>
      <c r="E256" s="14" t="s">
        <v>705</v>
      </c>
      <c r="F256" s="15" t="s">
        <v>405</v>
      </c>
      <c r="G256" s="14" t="s">
        <v>332</v>
      </c>
      <c r="H256" s="15" t="s">
        <v>333</v>
      </c>
      <c r="I256" s="15" t="s">
        <v>706</v>
      </c>
      <c r="J256" s="15" t="n">
        <v>22</v>
      </c>
    </row>
    <row r="257" customFormat="false" ht="15" hidden="false" customHeight="false" outlineLevel="0" collapsed="false">
      <c r="A257" s="14" t="s">
        <v>707</v>
      </c>
      <c r="B257" s="15" t="s">
        <v>662</v>
      </c>
      <c r="C257" s="14" t="s">
        <v>195</v>
      </c>
      <c r="D257" s="14" t="s">
        <v>201</v>
      </c>
      <c r="E257" s="14" t="s">
        <v>188</v>
      </c>
      <c r="F257" s="15" t="s">
        <v>189</v>
      </c>
      <c r="G257" s="14" t="s">
        <v>190</v>
      </c>
      <c r="H257" s="15" t="s">
        <v>191</v>
      </c>
      <c r="I257" s="15" t="s">
        <v>92</v>
      </c>
      <c r="J257" s="15" t="n">
        <v>20</v>
      </c>
    </row>
    <row r="258" customFormat="false" ht="15" hidden="false" customHeight="false" outlineLevel="0" collapsed="false">
      <c r="A258" s="14" t="s">
        <v>708</v>
      </c>
      <c r="B258" s="15" t="s">
        <v>662</v>
      </c>
      <c r="C258" s="14" t="s">
        <v>195</v>
      </c>
      <c r="D258" s="14" t="s">
        <v>201</v>
      </c>
      <c r="E258" s="14" t="s">
        <v>567</v>
      </c>
      <c r="F258" s="15" t="s">
        <v>108</v>
      </c>
      <c r="G258" s="14" t="s">
        <v>233</v>
      </c>
      <c r="H258" s="15" t="s">
        <v>234</v>
      </c>
      <c r="I258" s="15" t="s">
        <v>214</v>
      </c>
      <c r="J258" s="15" t="n">
        <v>15</v>
      </c>
    </row>
    <row r="259" customFormat="false" ht="15" hidden="false" customHeight="false" outlineLevel="0" collapsed="false">
      <c r="A259" s="14" t="s">
        <v>709</v>
      </c>
      <c r="B259" s="15" t="s">
        <v>662</v>
      </c>
      <c r="C259" s="14" t="s">
        <v>237</v>
      </c>
      <c r="D259" s="14" t="s">
        <v>238</v>
      </c>
      <c r="E259" s="14" t="s">
        <v>710</v>
      </c>
      <c r="F259" s="15" t="s">
        <v>379</v>
      </c>
      <c r="G259" s="14" t="s">
        <v>90</v>
      </c>
      <c r="H259" s="15" t="s">
        <v>91</v>
      </c>
      <c r="I259" s="15" t="s">
        <v>158</v>
      </c>
      <c r="J259" s="15" t="n">
        <v>9</v>
      </c>
    </row>
    <row r="260" customFormat="false" ht="15" hidden="false" customHeight="false" outlineLevel="0" collapsed="false">
      <c r="A260" s="14" t="s">
        <v>711</v>
      </c>
      <c r="B260" s="15" t="s">
        <v>662</v>
      </c>
      <c r="C260" s="14" t="s">
        <v>237</v>
      </c>
      <c r="D260" s="14" t="s">
        <v>238</v>
      </c>
      <c r="E260" s="14" t="s">
        <v>280</v>
      </c>
      <c r="F260" s="15" t="s">
        <v>281</v>
      </c>
      <c r="G260" s="14" t="s">
        <v>271</v>
      </c>
      <c r="H260" s="15" t="s">
        <v>272</v>
      </c>
      <c r="I260" s="15" t="s">
        <v>92</v>
      </c>
      <c r="J260" s="15" t="n">
        <v>10</v>
      </c>
    </row>
    <row r="261" customFormat="false" ht="15" hidden="false" customHeight="false" outlineLevel="0" collapsed="false">
      <c r="A261" s="14" t="s">
        <v>712</v>
      </c>
      <c r="B261" s="15" t="s">
        <v>662</v>
      </c>
      <c r="C261" s="14" t="s">
        <v>237</v>
      </c>
      <c r="D261" s="14" t="s">
        <v>238</v>
      </c>
      <c r="E261" s="14" t="s">
        <v>267</v>
      </c>
      <c r="F261" s="15" t="s">
        <v>268</v>
      </c>
      <c r="G261" s="14" t="s">
        <v>145</v>
      </c>
      <c r="H261" s="15" t="s">
        <v>146</v>
      </c>
      <c r="I261" s="15" t="s">
        <v>99</v>
      </c>
      <c r="J261" s="15" t="n">
        <v>14</v>
      </c>
    </row>
    <row r="262" customFormat="false" ht="15" hidden="false" customHeight="false" outlineLevel="0" collapsed="false">
      <c r="A262" s="14" t="s">
        <v>713</v>
      </c>
      <c r="B262" s="15" t="s">
        <v>662</v>
      </c>
      <c r="C262" s="14" t="s">
        <v>237</v>
      </c>
      <c r="D262" s="14" t="s">
        <v>238</v>
      </c>
      <c r="E262" s="14" t="s">
        <v>594</v>
      </c>
      <c r="F262" s="15" t="s">
        <v>350</v>
      </c>
      <c r="G262" s="14" t="s">
        <v>462</v>
      </c>
      <c r="H262" s="15" t="s">
        <v>463</v>
      </c>
      <c r="I262" s="15" t="s">
        <v>105</v>
      </c>
      <c r="J262" s="15" t="n">
        <v>15</v>
      </c>
    </row>
    <row r="263" customFormat="false" ht="15" hidden="false" customHeight="false" outlineLevel="0" collapsed="false">
      <c r="A263" s="14" t="s">
        <v>714</v>
      </c>
      <c r="B263" s="15" t="s">
        <v>662</v>
      </c>
      <c r="C263" s="14" t="s">
        <v>237</v>
      </c>
      <c r="D263" s="14" t="s">
        <v>238</v>
      </c>
      <c r="E263" s="14" t="s">
        <v>715</v>
      </c>
      <c r="F263" s="15" t="s">
        <v>132</v>
      </c>
      <c r="G263" s="14" t="s">
        <v>133</v>
      </c>
      <c r="H263" s="15" t="s">
        <v>134</v>
      </c>
      <c r="I263" s="15" t="s">
        <v>214</v>
      </c>
      <c r="J263" s="15" t="n">
        <v>15</v>
      </c>
    </row>
    <row r="264" customFormat="false" ht="15" hidden="false" customHeight="false" outlineLevel="0" collapsed="false">
      <c r="A264" s="14" t="s">
        <v>716</v>
      </c>
      <c r="B264" s="15" t="s">
        <v>662</v>
      </c>
      <c r="C264" s="14" t="s">
        <v>237</v>
      </c>
      <c r="D264" s="14" t="s">
        <v>238</v>
      </c>
      <c r="E264" s="14" t="s">
        <v>414</v>
      </c>
      <c r="F264" s="15" t="s">
        <v>415</v>
      </c>
      <c r="G264" s="14" t="s">
        <v>397</v>
      </c>
      <c r="H264" s="15" t="s">
        <v>398</v>
      </c>
      <c r="I264" s="15" t="s">
        <v>111</v>
      </c>
      <c r="J264" s="15" t="n">
        <v>11</v>
      </c>
    </row>
    <row r="265" customFormat="false" ht="15" hidden="false" customHeight="false" outlineLevel="0" collapsed="false">
      <c r="A265" s="14" t="s">
        <v>717</v>
      </c>
      <c r="B265" s="15" t="s">
        <v>662</v>
      </c>
      <c r="C265" s="14" t="s">
        <v>237</v>
      </c>
      <c r="D265" s="14" t="s">
        <v>238</v>
      </c>
      <c r="E265" s="14" t="s">
        <v>718</v>
      </c>
      <c r="F265" s="15" t="s">
        <v>252</v>
      </c>
      <c r="G265" s="14" t="s">
        <v>287</v>
      </c>
      <c r="H265" s="15" t="s">
        <v>288</v>
      </c>
      <c r="I265" s="15" t="s">
        <v>129</v>
      </c>
      <c r="J265" s="15" t="n">
        <v>7</v>
      </c>
    </row>
    <row r="266" customFormat="false" ht="15" hidden="false" customHeight="false" outlineLevel="0" collapsed="false">
      <c r="A266" s="14" t="s">
        <v>719</v>
      </c>
      <c r="B266" s="15" t="s">
        <v>662</v>
      </c>
      <c r="C266" s="14" t="s">
        <v>237</v>
      </c>
      <c r="D266" s="14" t="s">
        <v>238</v>
      </c>
      <c r="E266" s="14" t="s">
        <v>720</v>
      </c>
      <c r="F266" s="15" t="s">
        <v>184</v>
      </c>
      <c r="G266" s="14" t="s">
        <v>276</v>
      </c>
      <c r="H266" s="15" t="s">
        <v>277</v>
      </c>
      <c r="I266" s="15" t="s">
        <v>228</v>
      </c>
      <c r="J266" s="15" t="n">
        <v>8</v>
      </c>
    </row>
    <row r="267" customFormat="false" ht="15" hidden="false" customHeight="false" outlineLevel="0" collapsed="false">
      <c r="A267" s="14" t="s">
        <v>721</v>
      </c>
      <c r="B267" s="15" t="s">
        <v>662</v>
      </c>
      <c r="C267" s="14" t="s">
        <v>237</v>
      </c>
      <c r="D267" s="14" t="s">
        <v>274</v>
      </c>
      <c r="E267" s="14" t="s">
        <v>261</v>
      </c>
      <c r="F267" s="15" t="s">
        <v>262</v>
      </c>
      <c r="G267" s="14" t="s">
        <v>263</v>
      </c>
      <c r="H267" s="15" t="s">
        <v>264</v>
      </c>
      <c r="I267" s="15" t="s">
        <v>265</v>
      </c>
      <c r="J267" s="15" t="n">
        <v>10</v>
      </c>
    </row>
    <row r="268" customFormat="false" ht="15" hidden="false" customHeight="false" outlineLevel="0" collapsed="false">
      <c r="A268" s="14" t="s">
        <v>722</v>
      </c>
      <c r="B268" s="15" t="s">
        <v>662</v>
      </c>
      <c r="C268" s="14" t="s">
        <v>237</v>
      </c>
      <c r="D268" s="14" t="s">
        <v>274</v>
      </c>
      <c r="E268" s="14" t="s">
        <v>644</v>
      </c>
      <c r="F268" s="15" t="s">
        <v>313</v>
      </c>
      <c r="G268" s="14" t="s">
        <v>103</v>
      </c>
      <c r="H268" s="15" t="s">
        <v>104</v>
      </c>
      <c r="I268" s="15" t="s">
        <v>135</v>
      </c>
      <c r="J268" s="15" t="n">
        <v>11</v>
      </c>
    </row>
    <row r="269" customFormat="false" ht="15" hidden="false" customHeight="false" outlineLevel="0" collapsed="false">
      <c r="A269" s="14" t="s">
        <v>723</v>
      </c>
      <c r="B269" s="15" t="s">
        <v>662</v>
      </c>
      <c r="C269" s="14" t="s">
        <v>274</v>
      </c>
      <c r="D269" s="14" t="s">
        <v>238</v>
      </c>
      <c r="E269" s="14" t="s">
        <v>310</v>
      </c>
      <c r="F269" s="15" t="s">
        <v>262</v>
      </c>
      <c r="G269" s="14" t="s">
        <v>241</v>
      </c>
      <c r="H269" s="15" t="s">
        <v>242</v>
      </c>
      <c r="I269" s="15" t="s">
        <v>265</v>
      </c>
      <c r="J269" s="15" t="n">
        <v>11</v>
      </c>
    </row>
    <row r="270" customFormat="false" ht="15" hidden="false" customHeight="false" outlineLevel="0" collapsed="false">
      <c r="A270" s="14" t="s">
        <v>724</v>
      </c>
      <c r="B270" s="15" t="s">
        <v>662</v>
      </c>
      <c r="C270" s="14" t="s">
        <v>274</v>
      </c>
      <c r="D270" s="14" t="s">
        <v>238</v>
      </c>
      <c r="E270" s="14" t="s">
        <v>725</v>
      </c>
      <c r="F270" s="15" t="s">
        <v>313</v>
      </c>
      <c r="G270" s="14" t="s">
        <v>103</v>
      </c>
      <c r="H270" s="15" t="s">
        <v>104</v>
      </c>
      <c r="I270" s="15" t="s">
        <v>135</v>
      </c>
      <c r="J270" s="15" t="n">
        <v>11</v>
      </c>
    </row>
    <row r="271" customFormat="false" ht="15" hidden="false" customHeight="false" outlineLevel="0" collapsed="false">
      <c r="A271" s="14" t="s">
        <v>726</v>
      </c>
      <c r="B271" s="15" t="s">
        <v>662</v>
      </c>
      <c r="C271" s="14" t="s">
        <v>238</v>
      </c>
      <c r="D271" s="14" t="s">
        <v>279</v>
      </c>
      <c r="E271" s="14" t="s">
        <v>378</v>
      </c>
      <c r="F271" s="15" t="s">
        <v>379</v>
      </c>
      <c r="G271" s="14" t="s">
        <v>90</v>
      </c>
      <c r="H271" s="15" t="s">
        <v>91</v>
      </c>
      <c r="I271" s="15" t="s">
        <v>158</v>
      </c>
      <c r="J271" s="15" t="n">
        <v>9</v>
      </c>
    </row>
    <row r="272" customFormat="false" ht="15" hidden="false" customHeight="false" outlineLevel="0" collapsed="false">
      <c r="A272" s="14" t="s">
        <v>727</v>
      </c>
      <c r="B272" s="15" t="s">
        <v>662</v>
      </c>
      <c r="C272" s="14" t="s">
        <v>238</v>
      </c>
      <c r="D272" s="14" t="s">
        <v>279</v>
      </c>
      <c r="E272" s="14" t="s">
        <v>294</v>
      </c>
      <c r="F272" s="15" t="s">
        <v>295</v>
      </c>
      <c r="G272" s="14" t="s">
        <v>296</v>
      </c>
      <c r="H272" s="15" t="s">
        <v>297</v>
      </c>
      <c r="I272" s="15" t="s">
        <v>92</v>
      </c>
      <c r="J272" s="15" t="n">
        <v>13</v>
      </c>
    </row>
    <row r="273" customFormat="false" ht="15" hidden="false" customHeight="false" outlineLevel="0" collapsed="false">
      <c r="A273" s="14" t="s">
        <v>728</v>
      </c>
      <c r="B273" s="15" t="s">
        <v>662</v>
      </c>
      <c r="C273" s="14" t="s">
        <v>238</v>
      </c>
      <c r="D273" s="14" t="s">
        <v>279</v>
      </c>
      <c r="E273" s="14" t="s">
        <v>644</v>
      </c>
      <c r="F273" s="15" t="s">
        <v>313</v>
      </c>
      <c r="G273" s="14" t="s">
        <v>332</v>
      </c>
      <c r="H273" s="15" t="s">
        <v>333</v>
      </c>
      <c r="I273" s="15" t="s">
        <v>99</v>
      </c>
      <c r="J273" s="15" t="n">
        <v>11</v>
      </c>
    </row>
    <row r="274" customFormat="false" ht="15" hidden="false" customHeight="false" outlineLevel="0" collapsed="false">
      <c r="A274" s="14" t="s">
        <v>729</v>
      </c>
      <c r="B274" s="15" t="s">
        <v>662</v>
      </c>
      <c r="C274" s="14" t="s">
        <v>238</v>
      </c>
      <c r="D274" s="14" t="s">
        <v>279</v>
      </c>
      <c r="E274" s="14" t="s">
        <v>624</v>
      </c>
      <c r="F274" s="15" t="s">
        <v>240</v>
      </c>
      <c r="G274" s="14" t="s">
        <v>317</v>
      </c>
      <c r="H274" s="15" t="s">
        <v>318</v>
      </c>
      <c r="I274" s="15" t="s">
        <v>105</v>
      </c>
      <c r="J274" s="15" t="n">
        <v>11</v>
      </c>
    </row>
    <row r="275" customFormat="false" ht="15" hidden="false" customHeight="false" outlineLevel="0" collapsed="false">
      <c r="A275" s="14" t="s">
        <v>730</v>
      </c>
      <c r="B275" s="15" t="s">
        <v>662</v>
      </c>
      <c r="C275" s="14" t="s">
        <v>238</v>
      </c>
      <c r="D275" s="14" t="s">
        <v>279</v>
      </c>
      <c r="E275" s="14" t="s">
        <v>436</v>
      </c>
      <c r="F275" s="15" t="s">
        <v>437</v>
      </c>
      <c r="G275" s="14" t="s">
        <v>397</v>
      </c>
      <c r="H275" s="15" t="s">
        <v>398</v>
      </c>
      <c r="I275" s="15" t="s">
        <v>111</v>
      </c>
      <c r="J275" s="15" t="n">
        <v>22</v>
      </c>
    </row>
    <row r="276" customFormat="false" ht="15" hidden="false" customHeight="false" outlineLevel="0" collapsed="false">
      <c r="A276" s="14" t="s">
        <v>731</v>
      </c>
      <c r="B276" s="15" t="s">
        <v>662</v>
      </c>
      <c r="C276" s="14" t="s">
        <v>238</v>
      </c>
      <c r="D276" s="14" t="s">
        <v>279</v>
      </c>
      <c r="E276" s="14" t="s">
        <v>627</v>
      </c>
      <c r="F276" s="15" t="s">
        <v>286</v>
      </c>
      <c r="G276" s="14" t="s">
        <v>241</v>
      </c>
      <c r="H276" s="15" t="s">
        <v>242</v>
      </c>
      <c r="I276" s="15" t="s">
        <v>632</v>
      </c>
      <c r="J276" s="15" t="n">
        <v>22</v>
      </c>
    </row>
    <row r="277" customFormat="false" ht="15" hidden="false" customHeight="false" outlineLevel="0" collapsed="false">
      <c r="A277" s="14" t="s">
        <v>732</v>
      </c>
      <c r="B277" s="15" t="s">
        <v>662</v>
      </c>
      <c r="C277" s="14" t="s">
        <v>238</v>
      </c>
      <c r="D277" s="14" t="s">
        <v>279</v>
      </c>
      <c r="E277" s="14" t="s">
        <v>733</v>
      </c>
      <c r="F277" s="15" t="s">
        <v>120</v>
      </c>
      <c r="G277" s="14" t="s">
        <v>121</v>
      </c>
      <c r="H277" s="15" t="s">
        <v>122</v>
      </c>
      <c r="I277" s="15" t="s">
        <v>734</v>
      </c>
      <c r="J277" s="15" t="n">
        <v>11</v>
      </c>
    </row>
    <row r="278" customFormat="false" ht="15" hidden="false" customHeight="false" outlineLevel="0" collapsed="false">
      <c r="A278" s="14" t="s">
        <v>735</v>
      </c>
      <c r="B278" s="15" t="s">
        <v>662</v>
      </c>
      <c r="C278" s="14" t="s">
        <v>238</v>
      </c>
      <c r="D278" s="14" t="s">
        <v>279</v>
      </c>
      <c r="E278" s="14" t="s">
        <v>244</v>
      </c>
      <c r="F278" s="15" t="s">
        <v>245</v>
      </c>
      <c r="G278" s="14" t="s">
        <v>246</v>
      </c>
      <c r="H278" s="15" t="s">
        <v>247</v>
      </c>
      <c r="I278" s="15" t="s">
        <v>265</v>
      </c>
      <c r="J278" s="15" t="n">
        <v>10</v>
      </c>
    </row>
    <row r="279" customFormat="false" ht="15" hidden="false" customHeight="false" outlineLevel="0" collapsed="false">
      <c r="A279" s="14" t="s">
        <v>736</v>
      </c>
      <c r="B279" s="15" t="s">
        <v>662</v>
      </c>
      <c r="C279" s="14" t="s">
        <v>238</v>
      </c>
      <c r="D279" s="14" t="s">
        <v>279</v>
      </c>
      <c r="E279" s="14" t="s">
        <v>737</v>
      </c>
      <c r="F279" s="15" t="s">
        <v>184</v>
      </c>
      <c r="G279" s="14" t="s">
        <v>276</v>
      </c>
      <c r="H279" s="15" t="s">
        <v>277</v>
      </c>
      <c r="I279" s="15" t="s">
        <v>135</v>
      </c>
      <c r="J279" s="15" t="n">
        <v>12</v>
      </c>
    </row>
    <row r="280" customFormat="false" ht="15" hidden="false" customHeight="false" outlineLevel="0" collapsed="false">
      <c r="A280" s="14" t="s">
        <v>738</v>
      </c>
      <c r="B280" s="15" t="s">
        <v>662</v>
      </c>
      <c r="C280" s="14" t="s">
        <v>238</v>
      </c>
      <c r="D280" s="14" t="s">
        <v>279</v>
      </c>
      <c r="E280" s="14" t="s">
        <v>596</v>
      </c>
      <c r="F280" s="15" t="s">
        <v>597</v>
      </c>
      <c r="G280" s="14" t="s">
        <v>253</v>
      </c>
      <c r="H280" s="15" t="s">
        <v>254</v>
      </c>
      <c r="I280" s="15" t="s">
        <v>147</v>
      </c>
      <c r="J280" s="15" t="n">
        <v>10</v>
      </c>
    </row>
    <row r="281" customFormat="false" ht="15" hidden="false" customHeight="false" outlineLevel="0" collapsed="false">
      <c r="A281" s="14" t="s">
        <v>739</v>
      </c>
      <c r="B281" s="15" t="s">
        <v>740</v>
      </c>
      <c r="C281" s="14" t="s">
        <v>86</v>
      </c>
      <c r="D281" s="14" t="s">
        <v>87</v>
      </c>
      <c r="E281" s="14" t="s">
        <v>589</v>
      </c>
      <c r="F281" s="15" t="s">
        <v>590</v>
      </c>
      <c r="G281" s="14" t="s">
        <v>168</v>
      </c>
      <c r="H281" s="15" t="s">
        <v>169</v>
      </c>
      <c r="I281" s="15" t="s">
        <v>328</v>
      </c>
      <c r="J281" s="15" t="n">
        <v>11</v>
      </c>
    </row>
    <row r="282" customFormat="false" ht="15" hidden="false" customHeight="false" outlineLevel="0" collapsed="false">
      <c r="A282" s="14" t="s">
        <v>741</v>
      </c>
      <c r="B282" s="15" t="s">
        <v>740</v>
      </c>
      <c r="C282" s="14" t="s">
        <v>742</v>
      </c>
      <c r="D282" s="14" t="s">
        <v>163</v>
      </c>
      <c r="E282" s="14" t="s">
        <v>743</v>
      </c>
      <c r="F282" s="15" t="s">
        <v>220</v>
      </c>
      <c r="G282" s="14" t="s">
        <v>115</v>
      </c>
      <c r="H282" s="15" t="s">
        <v>116</v>
      </c>
      <c r="I282" s="15" t="s">
        <v>744</v>
      </c>
      <c r="J282" s="15" t="n">
        <v>13</v>
      </c>
    </row>
    <row r="283" customFormat="false" ht="15" hidden="false" customHeight="false" outlineLevel="0" collapsed="false">
      <c r="A283" s="14" t="s">
        <v>745</v>
      </c>
      <c r="B283" s="15" t="s">
        <v>740</v>
      </c>
      <c r="C283" s="14" t="s">
        <v>87</v>
      </c>
      <c r="D283" s="14" t="s">
        <v>155</v>
      </c>
      <c r="E283" s="14" t="s">
        <v>746</v>
      </c>
      <c r="F283" s="15" t="s">
        <v>590</v>
      </c>
      <c r="G283" s="14" t="s">
        <v>168</v>
      </c>
      <c r="H283" s="15" t="s">
        <v>169</v>
      </c>
      <c r="I283" s="15" t="s">
        <v>328</v>
      </c>
      <c r="J283" s="15" t="n">
        <v>12</v>
      </c>
    </row>
  </sheetData>
  <autoFilter ref="A1:J2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16"/>
    <col collapsed="false" customWidth="true" hidden="false" outlineLevel="0" max="4" min="4" style="0" width="32"/>
    <col collapsed="false" customWidth="true" hidden="false" outlineLevel="0" max="5" min="5" style="0" width="10"/>
    <col collapsed="false" customWidth="true" hidden="false" outlineLevel="0" max="6" min="6" style="0" width="36"/>
    <col collapsed="false" customWidth="true" hidden="false" outlineLevel="0" max="7" min="7" style="0" width="40"/>
    <col collapsed="false" customWidth="true" hidden="false" outlineLevel="0" max="8" min="8" style="0" width="80"/>
  </cols>
  <sheetData>
    <row r="1" customFormat="false" ht="30" hidden="false" customHeight="true" outlineLevel="0" collapsed="false">
      <c r="A1" s="8" t="s">
        <v>80</v>
      </c>
      <c r="B1" s="8" t="s">
        <v>81</v>
      </c>
      <c r="C1" s="8" t="s">
        <v>747</v>
      </c>
      <c r="D1" s="8" t="s">
        <v>748</v>
      </c>
      <c r="E1" s="8" t="s">
        <v>749</v>
      </c>
      <c r="F1" s="8" t="s">
        <v>750</v>
      </c>
      <c r="G1" s="8" t="s">
        <v>751</v>
      </c>
      <c r="H1" s="8" t="s">
        <v>752</v>
      </c>
    </row>
    <row r="2" customFormat="false" ht="15" hidden="false" customHeight="false" outlineLevel="0" collapsed="false">
      <c r="A2" s="14" t="s">
        <v>462</v>
      </c>
      <c r="B2" s="15" t="s">
        <v>463</v>
      </c>
      <c r="C2" s="15" t="s">
        <v>753</v>
      </c>
      <c r="D2" s="16"/>
      <c r="E2" s="16" t="s">
        <v>58</v>
      </c>
      <c r="F2" s="14"/>
      <c r="G2" s="14"/>
      <c r="H2" s="15"/>
    </row>
    <row r="3" customFormat="false" ht="15" hidden="false" customHeight="false" outlineLevel="0" collapsed="false">
      <c r="A3" s="14" t="s">
        <v>241</v>
      </c>
      <c r="B3" s="15" t="s">
        <v>242</v>
      </c>
      <c r="C3" s="15" t="s">
        <v>753</v>
      </c>
      <c r="D3" s="16"/>
      <c r="E3" s="16" t="s">
        <v>58</v>
      </c>
      <c r="F3" s="14"/>
      <c r="G3" s="14"/>
      <c r="H3" s="15"/>
    </row>
    <row r="4" customFormat="false" ht="15" hidden="false" customHeight="false" outlineLevel="0" collapsed="false">
      <c r="A4" s="14" t="s">
        <v>103</v>
      </c>
      <c r="B4" s="15" t="s">
        <v>104</v>
      </c>
      <c r="C4" s="15" t="s">
        <v>753</v>
      </c>
      <c r="D4" s="16"/>
      <c r="E4" s="16" t="s">
        <v>58</v>
      </c>
      <c r="F4" s="14"/>
      <c r="G4" s="14"/>
      <c r="H4" s="15"/>
    </row>
    <row r="5" customFormat="false" ht="15" hidden="false" customHeight="false" outlineLevel="0" collapsed="false">
      <c r="A5" s="14" t="s">
        <v>351</v>
      </c>
      <c r="B5" s="15" t="s">
        <v>352</v>
      </c>
      <c r="C5" s="15" t="s">
        <v>753</v>
      </c>
      <c r="D5" s="16"/>
      <c r="E5" s="16" t="s">
        <v>58</v>
      </c>
      <c r="F5" s="14"/>
      <c r="G5" s="14"/>
      <c r="H5" s="15"/>
    </row>
    <row r="6" customFormat="false" ht="15" hidden="false" customHeight="false" outlineLevel="0" collapsed="false">
      <c r="A6" s="14" t="s">
        <v>190</v>
      </c>
      <c r="B6" s="15" t="s">
        <v>191</v>
      </c>
      <c r="C6" s="15" t="s">
        <v>754</v>
      </c>
      <c r="D6" s="16"/>
      <c r="E6" s="16" t="s">
        <v>58</v>
      </c>
      <c r="F6" s="14"/>
      <c r="G6" s="14"/>
      <c r="H6" s="15"/>
    </row>
    <row r="7" customFormat="false" ht="15" hidden="false" customHeight="false" outlineLevel="0" collapsed="false">
      <c r="A7" s="14" t="s">
        <v>304</v>
      </c>
      <c r="B7" s="15" t="s">
        <v>305</v>
      </c>
      <c r="C7" s="15" t="s">
        <v>754</v>
      </c>
      <c r="D7" s="16"/>
      <c r="E7" s="16" t="s">
        <v>58</v>
      </c>
      <c r="F7" s="14"/>
      <c r="G7" s="14"/>
      <c r="H7" s="15"/>
    </row>
    <row r="8" customFormat="false" ht="15" hidden="false" customHeight="false" outlineLevel="0" collapsed="false">
      <c r="A8" s="14" t="s">
        <v>198</v>
      </c>
      <c r="B8" s="15" t="s">
        <v>199</v>
      </c>
      <c r="C8" s="15" t="s">
        <v>754</v>
      </c>
      <c r="D8" s="16"/>
      <c r="E8" s="16" t="s">
        <v>58</v>
      </c>
      <c r="F8" s="14"/>
      <c r="G8" s="14"/>
      <c r="H8" s="15"/>
    </row>
    <row r="9" customFormat="false" ht="15" hidden="false" customHeight="false" outlineLevel="0" collapsed="false">
      <c r="A9" s="14" t="s">
        <v>145</v>
      </c>
      <c r="B9" s="15" t="s">
        <v>146</v>
      </c>
      <c r="C9" s="15" t="s">
        <v>753</v>
      </c>
      <c r="D9" s="16"/>
      <c r="E9" s="16" t="s">
        <v>58</v>
      </c>
      <c r="F9" s="14"/>
      <c r="G9" s="14"/>
      <c r="H9" s="15"/>
    </row>
    <row r="10" customFormat="false" ht="15" hidden="false" customHeight="false" outlineLevel="0" collapsed="false">
      <c r="A10" s="14" t="s">
        <v>253</v>
      </c>
      <c r="B10" s="15" t="s">
        <v>254</v>
      </c>
      <c r="C10" s="15" t="s">
        <v>753</v>
      </c>
      <c r="D10" s="16"/>
      <c r="E10" s="16" t="s">
        <v>58</v>
      </c>
      <c r="F10" s="14"/>
      <c r="G10" s="14"/>
      <c r="H10" s="15"/>
    </row>
    <row r="11" customFormat="false" ht="15" hidden="false" customHeight="false" outlineLevel="0" collapsed="false">
      <c r="A11" s="14" t="s">
        <v>271</v>
      </c>
      <c r="B11" s="15" t="s">
        <v>272</v>
      </c>
      <c r="C11" s="15" t="s">
        <v>753</v>
      </c>
      <c r="D11" s="16"/>
      <c r="E11" s="16" t="s">
        <v>58</v>
      </c>
      <c r="F11" s="14"/>
      <c r="G11" s="14"/>
      <c r="H11" s="15"/>
    </row>
    <row r="12" customFormat="false" ht="15" hidden="false" customHeight="false" outlineLevel="0" collapsed="false">
      <c r="A12" s="14" t="s">
        <v>233</v>
      </c>
      <c r="B12" s="15" t="s">
        <v>234</v>
      </c>
      <c r="C12" s="15" t="s">
        <v>753</v>
      </c>
      <c r="D12" s="16"/>
      <c r="E12" s="16" t="s">
        <v>58</v>
      </c>
      <c r="F12" s="14"/>
      <c r="G12" s="14"/>
      <c r="H12" s="15"/>
    </row>
    <row r="13" customFormat="false" ht="15" hidden="false" customHeight="false" outlineLevel="0" collapsed="false">
      <c r="A13" s="14" t="s">
        <v>317</v>
      </c>
      <c r="B13" s="15" t="s">
        <v>318</v>
      </c>
      <c r="C13" s="15" t="s">
        <v>753</v>
      </c>
      <c r="D13" s="16"/>
      <c r="E13" s="16" t="s">
        <v>58</v>
      </c>
      <c r="F13" s="14"/>
      <c r="G13" s="14"/>
      <c r="H13" s="15"/>
    </row>
    <row r="14" customFormat="false" ht="15" hidden="false" customHeight="false" outlineLevel="0" collapsed="false">
      <c r="A14" s="14" t="s">
        <v>97</v>
      </c>
      <c r="B14" s="15" t="s">
        <v>98</v>
      </c>
      <c r="C14" s="15" t="s">
        <v>753</v>
      </c>
      <c r="D14" s="16"/>
      <c r="E14" s="16" t="s">
        <v>58</v>
      </c>
      <c r="F14" s="14"/>
      <c r="G14" s="14"/>
      <c r="H14" s="15"/>
    </row>
    <row r="15" customFormat="false" ht="15" hidden="false" customHeight="false" outlineLevel="0" collapsed="false">
      <c r="A15" s="14" t="s">
        <v>151</v>
      </c>
      <c r="B15" s="15" t="s">
        <v>152</v>
      </c>
      <c r="C15" s="15" t="s">
        <v>753</v>
      </c>
      <c r="D15" s="16"/>
      <c r="E15" s="16" t="s">
        <v>58</v>
      </c>
      <c r="F15" s="14"/>
      <c r="G15" s="14"/>
      <c r="H15" s="15"/>
    </row>
    <row r="16" customFormat="false" ht="15" hidden="false" customHeight="false" outlineLevel="0" collapsed="false">
      <c r="A16" s="14" t="s">
        <v>168</v>
      </c>
      <c r="B16" s="15" t="s">
        <v>169</v>
      </c>
      <c r="C16" s="15" t="s">
        <v>753</v>
      </c>
      <c r="D16" s="16"/>
      <c r="E16" s="16" t="s">
        <v>58</v>
      </c>
      <c r="F16" s="14"/>
      <c r="G16" s="14"/>
      <c r="H16" s="15"/>
    </row>
    <row r="17" customFormat="false" ht="15" hidden="false" customHeight="false" outlineLevel="0" collapsed="false">
      <c r="A17" s="14" t="s">
        <v>115</v>
      </c>
      <c r="B17" s="15" t="s">
        <v>116</v>
      </c>
      <c r="C17" s="15" t="s">
        <v>753</v>
      </c>
      <c r="D17" s="16"/>
      <c r="E17" s="16" t="s">
        <v>58</v>
      </c>
      <c r="F17" s="14"/>
      <c r="G17" s="14"/>
      <c r="H17" s="15"/>
    </row>
    <row r="18" customFormat="false" ht="15" hidden="false" customHeight="false" outlineLevel="0" collapsed="false">
      <c r="A18" s="14" t="s">
        <v>276</v>
      </c>
      <c r="B18" s="15" t="s">
        <v>277</v>
      </c>
      <c r="C18" s="15" t="s">
        <v>753</v>
      </c>
      <c r="D18" s="16"/>
      <c r="E18" s="16" t="s">
        <v>58</v>
      </c>
      <c r="F18" s="14"/>
      <c r="G18" s="14"/>
      <c r="H18" s="15"/>
    </row>
    <row r="19" customFormat="false" ht="15" hidden="false" customHeight="false" outlineLevel="0" collapsed="false">
      <c r="A19" s="14" t="s">
        <v>258</v>
      </c>
      <c r="B19" s="15" t="s">
        <v>259</v>
      </c>
      <c r="C19" s="15" t="s">
        <v>754</v>
      </c>
      <c r="D19" s="16"/>
      <c r="E19" s="16" t="s">
        <v>58</v>
      </c>
      <c r="F19" s="14"/>
      <c r="G19" s="14"/>
      <c r="H19" s="15"/>
    </row>
    <row r="20" customFormat="false" ht="15" hidden="false" customHeight="false" outlineLevel="0" collapsed="false">
      <c r="A20" s="14" t="s">
        <v>357</v>
      </c>
      <c r="B20" s="15" t="s">
        <v>358</v>
      </c>
      <c r="C20" s="15" t="s">
        <v>753</v>
      </c>
      <c r="D20" s="16"/>
      <c r="E20" s="16" t="s">
        <v>58</v>
      </c>
      <c r="F20" s="14"/>
      <c r="G20" s="14"/>
      <c r="H20" s="15"/>
    </row>
    <row r="21" customFormat="false" ht="15" hidden="false" customHeight="false" outlineLevel="0" collapsed="false">
      <c r="A21" s="14" t="s">
        <v>139</v>
      </c>
      <c r="B21" s="15" t="s">
        <v>140</v>
      </c>
      <c r="C21" s="15" t="s">
        <v>753</v>
      </c>
      <c r="D21" s="16"/>
      <c r="E21" s="16" t="s">
        <v>58</v>
      </c>
      <c r="F21" s="14"/>
      <c r="G21" s="14"/>
      <c r="H21" s="15"/>
    </row>
    <row r="22" customFormat="false" ht="15" hidden="false" customHeight="false" outlineLevel="0" collapsed="false">
      <c r="A22" s="14" t="s">
        <v>185</v>
      </c>
      <c r="B22" s="15" t="s">
        <v>186</v>
      </c>
      <c r="C22" s="15" t="s">
        <v>754</v>
      </c>
      <c r="D22" s="16"/>
      <c r="E22" s="16" t="s">
        <v>58</v>
      </c>
      <c r="F22" s="14"/>
      <c r="G22" s="14"/>
      <c r="H22" s="15"/>
    </row>
    <row r="23" customFormat="false" ht="15" hidden="false" customHeight="false" outlineLevel="0" collapsed="false">
      <c r="A23" s="14" t="s">
        <v>90</v>
      </c>
      <c r="B23" s="15" t="s">
        <v>91</v>
      </c>
      <c r="C23" s="15" t="s">
        <v>753</v>
      </c>
      <c r="D23" s="16"/>
      <c r="E23" s="16" t="s">
        <v>58</v>
      </c>
      <c r="F23" s="14"/>
      <c r="G23" s="14"/>
      <c r="H23" s="15"/>
    </row>
    <row r="24" customFormat="false" ht="15" hidden="false" customHeight="false" outlineLevel="0" collapsed="false">
      <c r="A24" s="14" t="s">
        <v>209</v>
      </c>
      <c r="B24" s="15" t="s">
        <v>210</v>
      </c>
      <c r="C24" s="15" t="s">
        <v>754</v>
      </c>
      <c r="D24" s="16"/>
      <c r="E24" s="16" t="s">
        <v>58</v>
      </c>
      <c r="F24" s="14"/>
      <c r="G24" s="14"/>
      <c r="H24" s="15"/>
    </row>
    <row r="25" customFormat="false" ht="15" hidden="false" customHeight="false" outlineLevel="0" collapsed="false">
      <c r="A25" s="14" t="s">
        <v>263</v>
      </c>
      <c r="B25" s="15" t="s">
        <v>264</v>
      </c>
      <c r="C25" s="15" t="s">
        <v>753</v>
      </c>
      <c r="D25" s="16"/>
      <c r="E25" s="16" t="s">
        <v>58</v>
      </c>
      <c r="F25" s="14"/>
      <c r="G25" s="14"/>
      <c r="H25" s="15"/>
    </row>
    <row r="26" customFormat="false" ht="15" hidden="false" customHeight="false" outlineLevel="0" collapsed="false">
      <c r="A26" s="14" t="s">
        <v>397</v>
      </c>
      <c r="B26" s="15" t="s">
        <v>398</v>
      </c>
      <c r="C26" s="15" t="s">
        <v>753</v>
      </c>
      <c r="D26" s="16"/>
      <c r="E26" s="16" t="s">
        <v>58</v>
      </c>
      <c r="F26" s="14"/>
      <c r="G26" s="14"/>
      <c r="H26" s="15"/>
    </row>
    <row r="27" customFormat="false" ht="15" hidden="false" customHeight="false" outlineLevel="0" collapsed="false">
      <c r="A27" s="14" t="s">
        <v>178</v>
      </c>
      <c r="B27" s="15" t="s">
        <v>179</v>
      </c>
      <c r="C27" s="15" t="s">
        <v>755</v>
      </c>
      <c r="D27" s="16"/>
      <c r="E27" s="16" t="s">
        <v>58</v>
      </c>
      <c r="F27" s="14"/>
      <c r="G27" s="14"/>
      <c r="H27" s="15"/>
    </row>
    <row r="28" customFormat="false" ht="15" hidden="false" customHeight="false" outlineLevel="0" collapsed="false">
      <c r="A28" s="14" t="s">
        <v>204</v>
      </c>
      <c r="B28" s="15" t="s">
        <v>205</v>
      </c>
      <c r="C28" s="15" t="s">
        <v>754</v>
      </c>
      <c r="D28" s="16"/>
      <c r="E28" s="16" t="s">
        <v>58</v>
      </c>
      <c r="F28" s="14"/>
      <c r="G28" s="14"/>
      <c r="H28" s="15"/>
    </row>
    <row r="29" customFormat="false" ht="15" hidden="false" customHeight="false" outlineLevel="0" collapsed="false">
      <c r="A29" s="14" t="s">
        <v>127</v>
      </c>
      <c r="B29" s="15" t="s">
        <v>128</v>
      </c>
      <c r="C29" s="15" t="s">
        <v>754</v>
      </c>
      <c r="D29" s="16"/>
      <c r="E29" s="16" t="s">
        <v>58</v>
      </c>
      <c r="F29" s="14"/>
      <c r="G29" s="14"/>
      <c r="H29" s="15"/>
    </row>
    <row r="30" customFormat="false" ht="15" hidden="false" customHeight="false" outlineLevel="0" collapsed="false">
      <c r="A30" s="14" t="s">
        <v>296</v>
      </c>
      <c r="B30" s="15" t="s">
        <v>297</v>
      </c>
      <c r="C30" s="15" t="s">
        <v>753</v>
      </c>
      <c r="D30" s="16"/>
      <c r="E30" s="16" t="s">
        <v>58</v>
      </c>
      <c r="F30" s="14"/>
      <c r="G30" s="14"/>
      <c r="H30" s="15"/>
    </row>
    <row r="31" customFormat="false" ht="15" hidden="false" customHeight="false" outlineLevel="0" collapsed="false">
      <c r="A31" s="14" t="s">
        <v>332</v>
      </c>
      <c r="B31" s="15" t="s">
        <v>333</v>
      </c>
      <c r="C31" s="15" t="s">
        <v>753</v>
      </c>
      <c r="D31" s="16"/>
      <c r="E31" s="16" t="s">
        <v>58</v>
      </c>
      <c r="F31" s="14"/>
      <c r="G31" s="14"/>
      <c r="H31" s="15"/>
    </row>
    <row r="32" customFormat="false" ht="15" hidden="false" customHeight="false" outlineLevel="0" collapsed="false">
      <c r="A32" s="14" t="s">
        <v>225</v>
      </c>
      <c r="B32" s="15" t="s">
        <v>226</v>
      </c>
      <c r="C32" s="15" t="s">
        <v>754</v>
      </c>
      <c r="D32" s="16"/>
      <c r="E32" s="16" t="s">
        <v>58</v>
      </c>
      <c r="F32" s="14"/>
      <c r="G32" s="14"/>
      <c r="H32" s="15"/>
    </row>
    <row r="33" customFormat="false" ht="15" hidden="false" customHeight="false" outlineLevel="0" collapsed="false">
      <c r="A33" s="14" t="s">
        <v>246</v>
      </c>
      <c r="B33" s="15" t="s">
        <v>247</v>
      </c>
      <c r="C33" s="15" t="s">
        <v>753</v>
      </c>
      <c r="D33" s="16"/>
      <c r="E33" s="16" t="s">
        <v>58</v>
      </c>
      <c r="F33" s="14"/>
      <c r="G33" s="14"/>
      <c r="H33" s="15"/>
    </row>
    <row r="34" customFormat="false" ht="15" hidden="false" customHeight="false" outlineLevel="0" collapsed="false">
      <c r="A34" s="14" t="s">
        <v>109</v>
      </c>
      <c r="B34" s="15" t="s">
        <v>110</v>
      </c>
      <c r="C34" s="15" t="s">
        <v>755</v>
      </c>
      <c r="D34" s="16"/>
      <c r="E34" s="16" t="s">
        <v>58</v>
      </c>
      <c r="F34" s="14"/>
      <c r="G34" s="14"/>
      <c r="H34" s="15"/>
    </row>
    <row r="35" customFormat="false" ht="15" hidden="false" customHeight="false" outlineLevel="0" collapsed="false">
      <c r="A35" s="14" t="s">
        <v>133</v>
      </c>
      <c r="B35" s="15" t="s">
        <v>134</v>
      </c>
      <c r="C35" s="15" t="s">
        <v>753</v>
      </c>
      <c r="D35" s="16"/>
      <c r="E35" s="16" t="s">
        <v>58</v>
      </c>
      <c r="F35" s="14"/>
      <c r="G35" s="14"/>
      <c r="H35" s="15"/>
    </row>
    <row r="36" customFormat="false" ht="15" hidden="false" customHeight="false" outlineLevel="0" collapsed="false">
      <c r="A36" s="14" t="s">
        <v>406</v>
      </c>
      <c r="B36" s="15" t="s">
        <v>407</v>
      </c>
      <c r="C36" s="15" t="s">
        <v>754</v>
      </c>
      <c r="D36" s="16"/>
      <c r="E36" s="16" t="s">
        <v>58</v>
      </c>
      <c r="F36" s="14"/>
      <c r="G36" s="14"/>
      <c r="H36" s="15"/>
    </row>
    <row r="37" customFormat="false" ht="15" hidden="false" customHeight="false" outlineLevel="0" collapsed="false">
      <c r="A37" s="14" t="s">
        <v>287</v>
      </c>
      <c r="B37" s="15" t="s">
        <v>288</v>
      </c>
      <c r="C37" s="15" t="s">
        <v>753</v>
      </c>
      <c r="D37" s="16"/>
      <c r="E37" s="16" t="s">
        <v>58</v>
      </c>
      <c r="F37" s="14"/>
      <c r="G37" s="14"/>
      <c r="H37" s="15"/>
    </row>
    <row r="38" customFormat="false" ht="15" hidden="false" customHeight="false" outlineLevel="0" collapsed="false">
      <c r="A38" s="14" t="s">
        <v>173</v>
      </c>
      <c r="B38" s="15" t="s">
        <v>174</v>
      </c>
      <c r="C38" s="15" t="s">
        <v>753</v>
      </c>
      <c r="D38" s="16"/>
      <c r="E38" s="16" t="s">
        <v>58</v>
      </c>
      <c r="F38" s="14"/>
      <c r="G38" s="14"/>
      <c r="H38" s="15"/>
    </row>
    <row r="39" customFormat="false" ht="15" hidden="false" customHeight="false" outlineLevel="0" collapsed="false">
      <c r="A39" s="14" t="s">
        <v>121</v>
      </c>
      <c r="B39" s="15" t="s">
        <v>122</v>
      </c>
      <c r="C39" s="15" t="s">
        <v>753</v>
      </c>
      <c r="D39" s="16"/>
      <c r="E39" s="16" t="s">
        <v>58</v>
      </c>
      <c r="F39" s="14"/>
      <c r="G39" s="14"/>
      <c r="H39" s="15"/>
    </row>
  </sheetData>
  <dataValidations count="1">
    <dataValidation allowBlank="false" errorStyle="stop" operator="between" showDropDown="false" showErrorMessage="false" showInputMessage="false" sqref="E2:E39"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4" min="3" style="0" width="13"/>
    <col collapsed="false" customWidth="true" hidden="false" outlineLevel="0" max="5" min="5" style="0" width="12"/>
  </cols>
  <sheetData>
    <row r="1" customFormat="false" ht="30" hidden="false" customHeight="true" outlineLevel="0" collapsed="false">
      <c r="A1" s="8" t="s">
        <v>82</v>
      </c>
      <c r="B1" s="8" t="s">
        <v>756</v>
      </c>
      <c r="C1" s="8" t="s">
        <v>757</v>
      </c>
      <c r="D1" s="8" t="s">
        <v>758</v>
      </c>
      <c r="E1" s="8" t="s">
        <v>759</v>
      </c>
    </row>
    <row r="2" customFormat="false" ht="15" hidden="false" customHeight="false" outlineLevel="0" collapsed="false">
      <c r="A2" s="15" t="s">
        <v>158</v>
      </c>
      <c r="B2" s="16" t="s">
        <v>58</v>
      </c>
      <c r="C2" s="16"/>
      <c r="D2" s="16"/>
      <c r="E2" s="16"/>
    </row>
    <row r="3" customFormat="false" ht="15" hidden="false" customHeight="false" outlineLevel="0" collapsed="false">
      <c r="A3" s="15" t="s">
        <v>92</v>
      </c>
      <c r="B3" s="16" t="s">
        <v>58</v>
      </c>
      <c r="C3" s="16"/>
      <c r="D3" s="16"/>
      <c r="E3" s="16"/>
    </row>
    <row r="4" customFormat="false" ht="15" hidden="false" customHeight="false" outlineLevel="0" collapsed="false">
      <c r="A4" s="15" t="s">
        <v>99</v>
      </c>
      <c r="B4" s="16" t="s">
        <v>58</v>
      </c>
      <c r="C4" s="16"/>
      <c r="D4" s="16"/>
      <c r="E4" s="16"/>
    </row>
    <row r="5" customFormat="false" ht="15" hidden="false" customHeight="false" outlineLevel="0" collapsed="false">
      <c r="A5" s="15" t="s">
        <v>105</v>
      </c>
      <c r="B5" s="16" t="s">
        <v>58</v>
      </c>
      <c r="C5" s="16"/>
      <c r="D5" s="16"/>
      <c r="E5" s="16"/>
    </row>
    <row r="6" customFormat="false" ht="15" hidden="false" customHeight="false" outlineLevel="0" collapsed="false">
      <c r="A6" s="15" t="s">
        <v>214</v>
      </c>
      <c r="B6" s="16" t="s">
        <v>58</v>
      </c>
      <c r="C6" s="16"/>
      <c r="D6" s="16"/>
      <c r="E6" s="16"/>
    </row>
    <row r="7" customFormat="false" ht="15" hidden="false" customHeight="false" outlineLevel="0" collapsed="false">
      <c r="A7" s="15" t="s">
        <v>111</v>
      </c>
      <c r="B7" s="16" t="s">
        <v>58</v>
      </c>
      <c r="C7" s="16"/>
      <c r="D7" s="16"/>
      <c r="E7" s="16"/>
    </row>
    <row r="8" customFormat="false" ht="15" hidden="false" customHeight="false" outlineLevel="0" collapsed="false">
      <c r="A8" s="15" t="s">
        <v>344</v>
      </c>
      <c r="B8" s="16" t="s">
        <v>58</v>
      </c>
      <c r="C8" s="16"/>
      <c r="D8" s="16"/>
      <c r="E8" s="16"/>
    </row>
    <row r="9" customFormat="false" ht="15" hidden="false" customHeight="false" outlineLevel="0" collapsed="false">
      <c r="A9" s="15" t="s">
        <v>632</v>
      </c>
      <c r="B9" s="16" t="s">
        <v>58</v>
      </c>
      <c r="C9" s="16"/>
      <c r="D9" s="16"/>
      <c r="E9" s="16"/>
    </row>
    <row r="10" customFormat="false" ht="15" hidden="false" customHeight="false" outlineLevel="0" collapsed="false">
      <c r="A10" s="15" t="s">
        <v>117</v>
      </c>
      <c r="B10" s="16" t="s">
        <v>58</v>
      </c>
      <c r="C10" s="16"/>
      <c r="D10" s="16"/>
      <c r="E10" s="16"/>
    </row>
    <row r="11" customFormat="false" ht="15" hidden="false" customHeight="false" outlineLevel="0" collapsed="false">
      <c r="A11" s="15" t="s">
        <v>598</v>
      </c>
      <c r="B11" s="16" t="s">
        <v>58</v>
      </c>
      <c r="C11" s="16"/>
      <c r="D11" s="16"/>
      <c r="E11" s="16"/>
    </row>
    <row r="12" customFormat="false" ht="15" hidden="false" customHeight="false" outlineLevel="0" collapsed="false">
      <c r="A12" s="15" t="s">
        <v>221</v>
      </c>
      <c r="B12" s="16" t="s">
        <v>58</v>
      </c>
      <c r="C12" s="16"/>
      <c r="D12" s="16"/>
      <c r="E12" s="16"/>
    </row>
    <row r="13" customFormat="false" ht="15" hidden="false" customHeight="false" outlineLevel="0" collapsed="false">
      <c r="A13" s="15" t="s">
        <v>300</v>
      </c>
      <c r="B13" s="16" t="s">
        <v>58</v>
      </c>
      <c r="C13" s="16"/>
      <c r="D13" s="16"/>
      <c r="E13" s="16"/>
    </row>
    <row r="14" customFormat="false" ht="15" hidden="false" customHeight="false" outlineLevel="0" collapsed="false">
      <c r="A14" s="15" t="s">
        <v>486</v>
      </c>
      <c r="B14" s="16" t="s">
        <v>58</v>
      </c>
      <c r="C14" s="16"/>
      <c r="D14" s="16"/>
      <c r="E14" s="16"/>
    </row>
    <row r="15" customFormat="false" ht="15" hidden="false" customHeight="false" outlineLevel="0" collapsed="false">
      <c r="A15" s="15" t="s">
        <v>640</v>
      </c>
      <c r="B15" s="16" t="s">
        <v>58</v>
      </c>
      <c r="C15" s="16"/>
      <c r="D15" s="16"/>
      <c r="E15" s="16"/>
    </row>
    <row r="16" customFormat="false" ht="15" hidden="false" customHeight="false" outlineLevel="0" collapsed="false">
      <c r="A16" s="15" t="s">
        <v>412</v>
      </c>
      <c r="B16" s="16" t="s">
        <v>58</v>
      </c>
      <c r="C16" s="16"/>
      <c r="D16" s="16"/>
      <c r="E16" s="16"/>
    </row>
    <row r="17" customFormat="false" ht="15" hidden="false" customHeight="false" outlineLevel="0" collapsed="false">
      <c r="A17" s="15" t="s">
        <v>353</v>
      </c>
      <c r="B17" s="16" t="s">
        <v>58</v>
      </c>
      <c r="C17" s="16"/>
      <c r="D17" s="16"/>
      <c r="E17" s="16"/>
    </row>
    <row r="18" customFormat="false" ht="15" hidden="false" customHeight="false" outlineLevel="0" collapsed="false">
      <c r="A18" s="15" t="s">
        <v>698</v>
      </c>
      <c r="B18" s="16" t="s">
        <v>58</v>
      </c>
      <c r="C18" s="16"/>
      <c r="D18" s="16"/>
      <c r="E18" s="16"/>
    </row>
    <row r="19" customFormat="false" ht="15" hidden="false" customHeight="false" outlineLevel="0" collapsed="false">
      <c r="A19" s="15" t="s">
        <v>744</v>
      </c>
      <c r="B19" s="16" t="s">
        <v>58</v>
      </c>
      <c r="C19" s="16"/>
      <c r="D19" s="16"/>
      <c r="E19" s="16"/>
    </row>
    <row r="20" customFormat="false" ht="15" hidden="false" customHeight="false" outlineLevel="0" collapsed="false">
      <c r="A20" s="15" t="s">
        <v>734</v>
      </c>
      <c r="B20" s="16" t="s">
        <v>58</v>
      </c>
      <c r="C20" s="16"/>
      <c r="D20" s="16"/>
      <c r="E20" s="16"/>
    </row>
    <row r="21" customFormat="false" ht="15" hidden="false" customHeight="false" outlineLevel="0" collapsed="false">
      <c r="A21" s="15" t="s">
        <v>123</v>
      </c>
      <c r="B21" s="16" t="s">
        <v>58</v>
      </c>
      <c r="C21" s="16"/>
      <c r="D21" s="16"/>
      <c r="E21" s="16"/>
    </row>
    <row r="22" customFormat="false" ht="15" hidden="false" customHeight="false" outlineLevel="0" collapsed="false">
      <c r="A22" s="15" t="s">
        <v>129</v>
      </c>
      <c r="B22" s="16" t="s">
        <v>58</v>
      </c>
      <c r="C22" s="16"/>
      <c r="D22" s="16"/>
      <c r="E22" s="16"/>
    </row>
    <row r="23" customFormat="false" ht="15" hidden="false" customHeight="false" outlineLevel="0" collapsed="false">
      <c r="A23" s="15" t="s">
        <v>228</v>
      </c>
      <c r="B23" s="16" t="s">
        <v>58</v>
      </c>
      <c r="C23" s="16"/>
      <c r="D23" s="16"/>
      <c r="E23" s="16"/>
    </row>
    <row r="24" customFormat="false" ht="15" hidden="false" customHeight="false" outlineLevel="0" collapsed="false">
      <c r="A24" s="15" t="s">
        <v>265</v>
      </c>
      <c r="B24" s="16" t="s">
        <v>58</v>
      </c>
      <c r="C24" s="16"/>
      <c r="D24" s="16"/>
      <c r="E24" s="16"/>
    </row>
    <row r="25" customFormat="false" ht="15" hidden="false" customHeight="false" outlineLevel="0" collapsed="false">
      <c r="A25" s="15" t="s">
        <v>135</v>
      </c>
      <c r="B25" s="16" t="s">
        <v>58</v>
      </c>
      <c r="C25" s="16"/>
      <c r="D25" s="16"/>
      <c r="E25" s="16"/>
    </row>
    <row r="26" customFormat="false" ht="15" hidden="false" customHeight="false" outlineLevel="0" collapsed="false">
      <c r="A26" s="15" t="s">
        <v>141</v>
      </c>
      <c r="B26" s="16" t="s">
        <v>58</v>
      </c>
      <c r="C26" s="16"/>
      <c r="D26" s="16"/>
      <c r="E26" s="16"/>
    </row>
    <row r="27" customFormat="false" ht="15" hidden="false" customHeight="false" outlineLevel="0" collapsed="false">
      <c r="A27" s="15" t="s">
        <v>147</v>
      </c>
      <c r="B27" s="16" t="s">
        <v>58</v>
      </c>
      <c r="C27" s="16"/>
      <c r="D27" s="16"/>
      <c r="E27" s="16"/>
    </row>
    <row r="28" customFormat="false" ht="15" hidden="false" customHeight="false" outlineLevel="0" collapsed="false">
      <c r="A28" s="15" t="s">
        <v>153</v>
      </c>
      <c r="B28" s="16" t="s">
        <v>58</v>
      </c>
      <c r="C28" s="16"/>
      <c r="D28" s="16"/>
      <c r="E28" s="16"/>
    </row>
    <row r="29" customFormat="false" ht="15" hidden="false" customHeight="false" outlineLevel="0" collapsed="false">
      <c r="A29" s="15" t="s">
        <v>706</v>
      </c>
      <c r="B29" s="16" t="s">
        <v>58</v>
      </c>
      <c r="C29" s="16"/>
      <c r="D29" s="16"/>
      <c r="E29" s="16"/>
    </row>
    <row r="30" customFormat="false" ht="15" hidden="false" customHeight="false" outlineLevel="0" collapsed="false">
      <c r="A30" s="15" t="s">
        <v>547</v>
      </c>
      <c r="B30" s="16" t="s">
        <v>58</v>
      </c>
      <c r="C30" s="16"/>
      <c r="D30" s="16"/>
      <c r="E30" s="16"/>
    </row>
    <row r="31" customFormat="false" ht="15" hidden="false" customHeight="false" outlineLevel="0" collapsed="false">
      <c r="A31" s="15" t="s">
        <v>464</v>
      </c>
      <c r="B31" s="16" t="s">
        <v>58</v>
      </c>
      <c r="C31" s="16"/>
      <c r="D31" s="16"/>
      <c r="E31" s="16"/>
    </row>
    <row r="32" customFormat="false" ht="15" hidden="false" customHeight="false" outlineLevel="0" collapsed="false">
      <c r="A32" s="15" t="s">
        <v>466</v>
      </c>
      <c r="B32" s="16" t="s">
        <v>58</v>
      </c>
      <c r="C32" s="16"/>
      <c r="D32" s="16"/>
      <c r="E32" s="16"/>
    </row>
    <row r="33" customFormat="false" ht="15" hidden="false" customHeight="false" outlineLevel="0" collapsed="false">
      <c r="A33" s="15" t="s">
        <v>533</v>
      </c>
      <c r="B33" s="16" t="s">
        <v>58</v>
      </c>
      <c r="C33" s="16"/>
      <c r="D33" s="16"/>
      <c r="E33" s="16"/>
    </row>
    <row r="34" customFormat="false" ht="15" hidden="false" customHeight="false" outlineLevel="0" collapsed="false">
      <c r="A34" s="15" t="s">
        <v>675</v>
      </c>
      <c r="B34" s="16" t="s">
        <v>58</v>
      </c>
      <c r="C34" s="16"/>
      <c r="D34" s="16"/>
      <c r="E34" s="16"/>
    </row>
    <row r="35" customFormat="false" ht="15" hidden="false" customHeight="false" outlineLevel="0" collapsed="false">
      <c r="A35" s="15" t="s">
        <v>430</v>
      </c>
      <c r="B35" s="16" t="s">
        <v>58</v>
      </c>
      <c r="C35" s="16"/>
      <c r="D35" s="16"/>
      <c r="E35" s="16"/>
    </row>
    <row r="36" customFormat="false" ht="15" hidden="false" customHeight="false" outlineLevel="0" collapsed="false">
      <c r="A36" s="15" t="s">
        <v>562</v>
      </c>
      <c r="B36" s="16" t="s">
        <v>58</v>
      </c>
      <c r="C36" s="16"/>
      <c r="D36" s="16"/>
      <c r="E36" s="16"/>
    </row>
    <row r="37" customFormat="false" ht="15" hidden="false" customHeight="false" outlineLevel="0" collapsed="false">
      <c r="A37" s="15" t="s">
        <v>328</v>
      </c>
      <c r="B37" s="16" t="s">
        <v>61</v>
      </c>
      <c r="C37" s="16"/>
      <c r="D37" s="16"/>
      <c r="E37" s="16"/>
    </row>
    <row r="39" customFormat="false" ht="15" hidden="false" customHeight="false" outlineLevel="0" collapsed="false">
      <c r="A39" s="11" t="s">
        <v>760</v>
      </c>
    </row>
  </sheetData>
  <dataValidations count="1">
    <dataValidation allowBlank="false" errorStyle="stop" operator="between" showDropDown="false" showErrorMessage="false" showInputMessage="false" sqref="B2:B37"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16"/>
    <col collapsed="false" customWidth="true" hidden="false" outlineLevel="0" max="8" min="8" style="0" width="90"/>
  </cols>
  <sheetData>
    <row r="1" customFormat="false" ht="30" hidden="false" customHeight="true" outlineLevel="0" collapsed="false">
      <c r="A1" s="8" t="s">
        <v>761</v>
      </c>
      <c r="B1" s="8" t="s">
        <v>762</v>
      </c>
      <c r="C1" s="8" t="s">
        <v>763</v>
      </c>
      <c r="D1" s="8" t="s">
        <v>764</v>
      </c>
      <c r="E1" s="8" t="s">
        <v>765</v>
      </c>
      <c r="F1" s="8" t="s">
        <v>766</v>
      </c>
    </row>
    <row r="2" customFormat="false" ht="15" hidden="false" customHeight="false" outlineLevel="0" collapsed="false">
      <c r="H2" s="11" t="s">
        <v>767</v>
      </c>
    </row>
    <row r="3" customFormat="false" ht="15" hidden="false" customHeight="false" outlineLevel="0" collapsed="false">
      <c r="H3" s="11" t="s">
        <v>768</v>
      </c>
    </row>
    <row r="4" customFormat="false" ht="15" hidden="false" customHeight="false" outlineLevel="0" collapsed="false">
      <c r="H4" s="11" t="s">
        <v>769</v>
      </c>
    </row>
  </sheetData>
  <dataValidations count="1">
    <dataValidation allowBlank="false" errorStyle="stop" operator="between" showDropDown="false" showErrorMessage="false" showInputMessage="false" sqref="F2:F500" type="list">
      <formula1>"SI,NO,PENDIENTE"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s>
  <sheetData>
    <row r="1" customFormat="false" ht="30" hidden="false" customHeight="true" outlineLevel="0" collapsed="false">
      <c r="A1" s="8" t="s">
        <v>770</v>
      </c>
      <c r="B1" s="8" t="s">
        <v>771</v>
      </c>
    </row>
    <row r="2" customFormat="false" ht="15" hidden="false" customHeight="false" outlineLevel="0" collapsed="false">
      <c r="A2" s="17" t="n">
        <v>46328</v>
      </c>
      <c r="B2" s="15" t="s">
        <v>772</v>
      </c>
    </row>
    <row r="3" customFormat="false" ht="15" hidden="false" customHeight="false" outlineLevel="0" collapsed="false">
      <c r="A3" s="17" t="n">
        <v>46342</v>
      </c>
      <c r="B3" s="15" t="s">
        <v>773</v>
      </c>
    </row>
    <row r="4" customFormat="false" ht="15" hidden="false" customHeight="false" outlineLevel="0" collapsed="false">
      <c r="A4" s="17" t="n">
        <v>46364</v>
      </c>
      <c r="B4" s="15" t="s">
        <v>774</v>
      </c>
    </row>
    <row r="5" customFormat="false" ht="15" hidden="false" customHeight="false" outlineLevel="0" collapsed="false">
      <c r="A5" s="17" t="n">
        <v>46381</v>
      </c>
      <c r="B5" s="15" t="s">
        <v>775</v>
      </c>
    </row>
    <row r="7" customFormat="false" ht="15" hidden="false" customHeight="false" outlineLevel="0" collapsed="false">
      <c r="A7" s="11" t="s">
        <v>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9398"/>
    <pageSetUpPr fitToPage="false"/>
  </sheetPr>
  <dimension ref="A1:R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36"/>
    <col collapsed="false" customWidth="true" hidden="false" outlineLevel="0" max="5" min="5" style="0" width="9"/>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46"/>
    <col collapsed="false" customWidth="true" hidden="false" outlineLevel="0" max="12" min="12" style="0" width="26"/>
    <col collapsed="false" customWidth="true" hidden="false" outlineLevel="0" max="13" min="13" style="0" width="46"/>
    <col collapsed="false" customWidth="true" hidden="false" outlineLevel="0" max="14" min="14" style="0" width="10"/>
    <col collapsed="false" customWidth="true" hidden="false" outlineLevel="0" max="15" min="15" style="0" width="36"/>
    <col collapsed="false" customWidth="true" hidden="false" outlineLevel="0" max="16" min="16" style="0" width="18"/>
    <col collapsed="false" customWidth="true" hidden="false" outlineLevel="0" max="17" min="17" style="0" width="28"/>
    <col collapsed="false" customWidth="true" hidden="false" outlineLevel="0" max="18" min="18" style="0" width="36"/>
  </cols>
  <sheetData>
    <row r="1" customFormat="false" ht="30" hidden="false" customHeight="true" outlineLevel="0" collapsed="false">
      <c r="A1" s="8" t="s">
        <v>770</v>
      </c>
      <c r="B1" s="8" t="s">
        <v>777</v>
      </c>
      <c r="C1" s="8" t="s">
        <v>778</v>
      </c>
      <c r="D1" s="8" t="s">
        <v>81</v>
      </c>
      <c r="E1" s="8" t="s">
        <v>82</v>
      </c>
      <c r="F1" s="8" t="s">
        <v>779</v>
      </c>
      <c r="G1" s="8" t="s">
        <v>780</v>
      </c>
      <c r="H1" s="8" t="s">
        <v>781</v>
      </c>
      <c r="I1" s="8" t="s">
        <v>782</v>
      </c>
      <c r="J1" s="8" t="s">
        <v>783</v>
      </c>
      <c r="K1" s="8" t="s">
        <v>784</v>
      </c>
      <c r="L1" s="8" t="s">
        <v>74</v>
      </c>
      <c r="M1" s="8" t="s">
        <v>785</v>
      </c>
      <c r="N1" s="8" t="s">
        <v>786</v>
      </c>
      <c r="O1" s="8" t="s">
        <v>787</v>
      </c>
      <c r="P1" s="8" t="s">
        <v>788</v>
      </c>
      <c r="Q1" s="8" t="s">
        <v>789</v>
      </c>
      <c r="R1" s="8" t="s">
        <v>790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CC33"/>
    <pageSetUpPr fitToPage="false"/>
  </sheetPr>
  <dimension ref="A1:R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26"/>
    <col collapsed="false" customWidth="true" hidden="false" outlineLevel="0" max="5" min="4" style="0" width="9"/>
    <col collapsed="false" customWidth="true" hidden="false" outlineLevel="0" max="6" min="6" style="0" width="13"/>
    <col collapsed="false" customWidth="true" hidden="false" outlineLevel="0" max="7" min="7" style="0" width="40"/>
    <col collapsed="false" customWidth="true" hidden="false" outlineLevel="0" max="8" min="8" style="0" width="11"/>
    <col collapsed="false" customWidth="true" hidden="false" outlineLevel="0" max="9" min="9" style="0" width="38"/>
    <col collapsed="false" customWidth="true" hidden="false" outlineLevel="0" max="10" min="10" style="0" width="9"/>
    <col collapsed="false" customWidth="true" hidden="false" outlineLevel="0" max="11" min="11" style="0" width="11"/>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10"/>
    <col collapsed="false" customWidth="true" hidden="false" outlineLevel="0" max="16" min="16" style="0" width="46"/>
    <col collapsed="false" customWidth="true" hidden="false" outlineLevel="0" max="17" min="17" style="0" width="26"/>
    <col collapsed="false" customWidth="true" hidden="false" outlineLevel="0" max="18" min="18" style="0" width="16"/>
  </cols>
  <sheetData>
    <row r="1" customFormat="false" ht="30" hidden="false" customHeight="true" outlineLevel="0" collapsed="false">
      <c r="A1" s="8" t="s">
        <v>770</v>
      </c>
      <c r="B1" s="8" t="s">
        <v>75</v>
      </c>
      <c r="C1" s="8" t="s">
        <v>74</v>
      </c>
      <c r="D1" s="8" t="s">
        <v>76</v>
      </c>
      <c r="E1" s="8" t="s">
        <v>77</v>
      </c>
      <c r="F1" s="8" t="s">
        <v>78</v>
      </c>
      <c r="G1" s="8" t="s">
        <v>79</v>
      </c>
      <c r="H1" s="8" t="s">
        <v>80</v>
      </c>
      <c r="I1" s="8" t="s">
        <v>81</v>
      </c>
      <c r="J1" s="8" t="s">
        <v>82</v>
      </c>
      <c r="K1" s="8" t="s">
        <v>791</v>
      </c>
      <c r="L1" s="8" t="s">
        <v>792</v>
      </c>
      <c r="M1" s="8" t="s">
        <v>793</v>
      </c>
      <c r="N1" s="8" t="s">
        <v>794</v>
      </c>
      <c r="O1" s="8" t="s">
        <v>786</v>
      </c>
      <c r="P1" s="8" t="s">
        <v>785</v>
      </c>
      <c r="Q1" s="8" t="s">
        <v>795</v>
      </c>
      <c r="R1" s="8" t="s">
        <v>796</v>
      </c>
    </row>
  </sheetData>
  <autoFilter ref="A1:R1"/>
  <conditionalFormatting sqref="M2:M5000">
    <cfRule type="expression" priority="2" aboveAverage="0" equalAverage="0" bottom="0" percent="0" rank="0" text="" dxfId="3">
      <formula>$M2="A tiempo"</formula>
    </cfRule>
    <cfRule type="expression" priority="3" aboveAverage="0" equalAverage="0" bottom="0" percent="0" rank="0" text="" dxfId="4">
      <formula>$M2="Tarde"</formula>
    </cfRule>
    <cfRule type="expression" priority="4" aboveAverage="0" equalAverage="0" bottom="0" percent="0" rank="0" text="" dxfId="5">
      <formula>$M2="No registró"</formula>
    </cfRule>
  </conditionalFormatting>
  <dataValidations count="1">
    <dataValidation allowBlank="false" errorStyle="stop" operator="between" showDropDown="false" showErrorMessage="false" showInputMessage="false" sqref="R2:R1001" type="list">
      <formula1>"Válida,No válida"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CC33"/>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12"/>
    <col collapsed="false" customWidth="true" hidden="false" outlineLevel="0" max="5" min="4" style="0" width="10"/>
    <col collapsed="false" customWidth="true" hidden="false" outlineLevel="0" max="6" min="6" style="0" width="11"/>
    <col collapsed="false" customWidth="true" hidden="false" outlineLevel="0" max="7" min="7" style="0" width="12"/>
    <col collapsed="false" customWidth="true" hidden="false" outlineLevel="0" max="9" min="8" style="0" width="13"/>
    <col collapsed="false" customWidth="true" hidden="false" outlineLevel="0" max="10" min="10" style="0" width="10"/>
    <col collapsed="false" customWidth="true" hidden="false" outlineLevel="0" max="11" min="11" style="0" width="12"/>
    <col collapsed="false" customWidth="true" hidden="false" outlineLevel="0" max="12" min="12" style="0" width="9"/>
  </cols>
  <sheetData>
    <row r="1" customFormat="false" ht="39.75" hidden="false" customHeight="true" outlineLevel="0" collapsed="false">
      <c r="A1" s="18" t="s">
        <v>797</v>
      </c>
    </row>
    <row r="2" customFormat="false" ht="15" hidden="false" customHeight="false" outlineLevel="0" collapsed="false">
      <c r="A2" s="11" t="s">
        <v>798</v>
      </c>
    </row>
    <row r="4" customFormat="false" ht="30" hidden="false" customHeight="true" outlineLevel="0" collapsed="false">
      <c r="A4" s="8" t="s">
        <v>80</v>
      </c>
      <c r="B4" s="8" t="s">
        <v>81</v>
      </c>
      <c r="C4" s="8" t="s">
        <v>799</v>
      </c>
      <c r="D4" s="8" t="s">
        <v>800</v>
      </c>
      <c r="E4" s="8" t="s">
        <v>801</v>
      </c>
      <c r="F4" s="8" t="s">
        <v>802</v>
      </c>
      <c r="G4" s="8" t="s">
        <v>803</v>
      </c>
      <c r="H4" s="8" t="s">
        <v>804</v>
      </c>
      <c r="I4" s="8" t="s">
        <v>805</v>
      </c>
      <c r="J4" s="8" t="s">
        <v>806</v>
      </c>
      <c r="K4" s="8" t="s">
        <v>807</v>
      </c>
    </row>
    <row r="5" customFormat="false" ht="15" hidden="false" customHeight="false" outlineLevel="0" collapsed="false">
      <c r="A5" s="14" t="s">
        <v>462</v>
      </c>
      <c r="B5" s="15" t="s">
        <v>463</v>
      </c>
      <c r="C5" s="15" t="n">
        <f aca="false">COUNTIFS(Asistencia!$I:$I,$B5)</f>
        <v>0</v>
      </c>
      <c r="D5" s="15" t="n">
        <f aca="false">COUNTIFS(Asistencia!$I:$I,$B5,Asistencia!$M:$M,"A tiempo")</f>
        <v>0</v>
      </c>
      <c r="E5" s="15" t="n">
        <f aca="false">COUNTIFS(Asistencia!$I:$I,$B5,Asistencia!$M:$M,"Tarde")</f>
        <v>0</v>
      </c>
      <c r="F5" s="15" t="n">
        <f aca="false">COUNTIFS(Asistencia!$I:$I,$B5,Asistencia!$M:$M,"No registró")</f>
        <v>0</v>
      </c>
      <c r="G5" s="15" t="n">
        <f aca="false">COUNTIFS(Asistencia!$I:$I,$B5,Asistencia!$N:$N,"NO")</f>
        <v>0</v>
      </c>
      <c r="H5" s="19" t="str">
        <f aca="false">IF(C5=0,"",(D5+E5-K5)/C5)</f>
        <v/>
      </c>
      <c r="I5" s="20" t="str">
        <f aca="false">IFERROR(AVERAGEIFS(Asistencia!$L:$L,Asistencia!$I:$I,$B5,Asistencia!$M:$M,"Tarde"),"")</f>
        <v/>
      </c>
      <c r="J5" s="15" t="n">
        <f aca="false">COUNTIFS(Asistencia!$I:$I,$B5,Asistencia!$P:$P,"?*")</f>
        <v>0</v>
      </c>
      <c r="K5" s="15" t="n">
        <f aca="false">COUNTIFS(Asistencia!$I:$I,$B5,Asistencia!$R:$R,"No válida")</f>
        <v>0</v>
      </c>
    </row>
    <row r="6" customFormat="false" ht="15" hidden="false" customHeight="false" outlineLevel="0" collapsed="false">
      <c r="A6" s="14" t="s">
        <v>241</v>
      </c>
      <c r="B6" s="15" t="s">
        <v>242</v>
      </c>
      <c r="C6" s="15" t="n">
        <f aca="false">COUNTIFS(Asistencia!$I:$I,$B6)</f>
        <v>0</v>
      </c>
      <c r="D6" s="15" t="n">
        <f aca="false">COUNTIFS(Asistencia!$I:$I,$B6,Asistencia!$M:$M,"A tiempo")</f>
        <v>0</v>
      </c>
      <c r="E6" s="15" t="n">
        <f aca="false">COUNTIFS(Asistencia!$I:$I,$B6,Asistencia!$M:$M,"Tarde")</f>
        <v>0</v>
      </c>
      <c r="F6" s="15" t="n">
        <f aca="false">COUNTIFS(Asistencia!$I:$I,$B6,Asistencia!$M:$M,"No registró")</f>
        <v>0</v>
      </c>
      <c r="G6" s="15" t="n">
        <f aca="false">COUNTIFS(Asistencia!$I:$I,$B6,Asistencia!$N:$N,"NO")</f>
        <v>0</v>
      </c>
      <c r="H6" s="19" t="str">
        <f aca="false">IF(C6=0,"",(D6+E6-K6)/C6)</f>
        <v/>
      </c>
      <c r="I6" s="20" t="str">
        <f aca="false">IFERROR(AVERAGEIFS(Asistencia!$L:$L,Asistencia!$I:$I,$B6,Asistencia!$M:$M,"Tarde"),"")</f>
        <v/>
      </c>
      <c r="J6" s="15" t="n">
        <f aca="false">COUNTIFS(Asistencia!$I:$I,$B6,Asistencia!$P:$P,"?*")</f>
        <v>0</v>
      </c>
      <c r="K6" s="15" t="n">
        <f aca="false">COUNTIFS(Asistencia!$I:$I,$B6,Asistencia!$R:$R,"No válida")</f>
        <v>0</v>
      </c>
    </row>
    <row r="7" customFormat="false" ht="15" hidden="false" customHeight="false" outlineLevel="0" collapsed="false">
      <c r="A7" s="14" t="s">
        <v>103</v>
      </c>
      <c r="B7" s="15" t="s">
        <v>104</v>
      </c>
      <c r="C7" s="15" t="n">
        <f aca="false">COUNTIFS(Asistencia!$I:$I,$B7)</f>
        <v>0</v>
      </c>
      <c r="D7" s="15" t="n">
        <f aca="false">COUNTIFS(Asistencia!$I:$I,$B7,Asistencia!$M:$M,"A tiempo")</f>
        <v>0</v>
      </c>
      <c r="E7" s="15" t="n">
        <f aca="false">COUNTIFS(Asistencia!$I:$I,$B7,Asistencia!$M:$M,"Tarde")</f>
        <v>0</v>
      </c>
      <c r="F7" s="15" t="n">
        <f aca="false">COUNTIFS(Asistencia!$I:$I,$B7,Asistencia!$M:$M,"No registró")</f>
        <v>0</v>
      </c>
      <c r="G7" s="15" t="n">
        <f aca="false">COUNTIFS(Asistencia!$I:$I,$B7,Asistencia!$N:$N,"NO")</f>
        <v>0</v>
      </c>
      <c r="H7" s="19" t="str">
        <f aca="false">IF(C7=0,"",(D7+E7-K7)/C7)</f>
        <v/>
      </c>
      <c r="I7" s="20" t="str">
        <f aca="false">IFERROR(AVERAGEIFS(Asistencia!$L:$L,Asistencia!$I:$I,$B7,Asistencia!$M:$M,"Tarde"),"")</f>
        <v/>
      </c>
      <c r="J7" s="15" t="n">
        <f aca="false">COUNTIFS(Asistencia!$I:$I,$B7,Asistencia!$P:$P,"?*")</f>
        <v>0</v>
      </c>
      <c r="K7" s="15" t="n">
        <f aca="false">COUNTIFS(Asistencia!$I:$I,$B7,Asistencia!$R:$R,"No válida")</f>
        <v>0</v>
      </c>
    </row>
    <row r="8" customFormat="false" ht="15" hidden="false" customHeight="false" outlineLevel="0" collapsed="false">
      <c r="A8" s="14" t="s">
        <v>351</v>
      </c>
      <c r="B8" s="15" t="s">
        <v>352</v>
      </c>
      <c r="C8" s="15" t="n">
        <f aca="false">COUNTIFS(Asistencia!$I:$I,$B8)</f>
        <v>0</v>
      </c>
      <c r="D8" s="15" t="n">
        <f aca="false">COUNTIFS(Asistencia!$I:$I,$B8,Asistencia!$M:$M,"A tiempo")</f>
        <v>0</v>
      </c>
      <c r="E8" s="15" t="n">
        <f aca="false">COUNTIFS(Asistencia!$I:$I,$B8,Asistencia!$M:$M,"Tarde")</f>
        <v>0</v>
      </c>
      <c r="F8" s="15" t="n">
        <f aca="false">COUNTIFS(Asistencia!$I:$I,$B8,Asistencia!$M:$M,"No registró")</f>
        <v>0</v>
      </c>
      <c r="G8" s="15" t="n">
        <f aca="false">COUNTIFS(Asistencia!$I:$I,$B8,Asistencia!$N:$N,"NO")</f>
        <v>0</v>
      </c>
      <c r="H8" s="19" t="str">
        <f aca="false">IF(C8=0,"",(D8+E8-K8)/C8)</f>
        <v/>
      </c>
      <c r="I8" s="20" t="str">
        <f aca="false">IFERROR(AVERAGEIFS(Asistencia!$L:$L,Asistencia!$I:$I,$B8,Asistencia!$M:$M,"Tarde"),"")</f>
        <v/>
      </c>
      <c r="J8" s="15" t="n">
        <f aca="false">COUNTIFS(Asistencia!$I:$I,$B8,Asistencia!$P:$P,"?*")</f>
        <v>0</v>
      </c>
      <c r="K8" s="15" t="n">
        <f aca="false">COUNTIFS(Asistencia!$I:$I,$B8,Asistencia!$R:$R,"No válida")</f>
        <v>0</v>
      </c>
    </row>
    <row r="9" customFormat="false" ht="15" hidden="false" customHeight="false" outlineLevel="0" collapsed="false">
      <c r="A9" s="14" t="s">
        <v>190</v>
      </c>
      <c r="B9" s="15" t="s">
        <v>191</v>
      </c>
      <c r="C9" s="15" t="n">
        <f aca="false">COUNTIFS(Asistencia!$I:$I,$B9)</f>
        <v>0</v>
      </c>
      <c r="D9" s="15" t="n">
        <f aca="false">COUNTIFS(Asistencia!$I:$I,$B9,Asistencia!$M:$M,"A tiempo")</f>
        <v>0</v>
      </c>
      <c r="E9" s="15" t="n">
        <f aca="false">COUNTIFS(Asistencia!$I:$I,$B9,Asistencia!$M:$M,"Tarde")</f>
        <v>0</v>
      </c>
      <c r="F9" s="15" t="n">
        <f aca="false">COUNTIFS(Asistencia!$I:$I,$B9,Asistencia!$M:$M,"No registró")</f>
        <v>0</v>
      </c>
      <c r="G9" s="15" t="n">
        <f aca="false">COUNTIFS(Asistencia!$I:$I,$B9,Asistencia!$N:$N,"NO")</f>
        <v>0</v>
      </c>
      <c r="H9" s="19" t="str">
        <f aca="false">IF(C9=0,"",(D9+E9-K9)/C9)</f>
        <v/>
      </c>
      <c r="I9" s="20" t="str">
        <f aca="false">IFERROR(AVERAGEIFS(Asistencia!$L:$L,Asistencia!$I:$I,$B9,Asistencia!$M:$M,"Tarde"),"")</f>
        <v/>
      </c>
      <c r="J9" s="15" t="n">
        <f aca="false">COUNTIFS(Asistencia!$I:$I,$B9,Asistencia!$P:$P,"?*")</f>
        <v>0</v>
      </c>
      <c r="K9" s="15" t="n">
        <f aca="false">COUNTIFS(Asistencia!$I:$I,$B9,Asistencia!$R:$R,"No válida")</f>
        <v>0</v>
      </c>
    </row>
    <row r="10" customFormat="false" ht="15" hidden="false" customHeight="false" outlineLevel="0" collapsed="false">
      <c r="A10" s="14" t="s">
        <v>304</v>
      </c>
      <c r="B10" s="15" t="s">
        <v>305</v>
      </c>
      <c r="C10" s="15" t="n">
        <f aca="false">COUNTIFS(Asistencia!$I:$I,$B10)</f>
        <v>0</v>
      </c>
      <c r="D10" s="15" t="n">
        <f aca="false">COUNTIFS(Asistencia!$I:$I,$B10,Asistencia!$M:$M,"A tiempo")</f>
        <v>0</v>
      </c>
      <c r="E10" s="15" t="n">
        <f aca="false">COUNTIFS(Asistencia!$I:$I,$B10,Asistencia!$M:$M,"Tarde")</f>
        <v>0</v>
      </c>
      <c r="F10" s="15" t="n">
        <f aca="false">COUNTIFS(Asistencia!$I:$I,$B10,Asistencia!$M:$M,"No registró")</f>
        <v>0</v>
      </c>
      <c r="G10" s="15" t="n">
        <f aca="false">COUNTIFS(Asistencia!$I:$I,$B10,Asistencia!$N:$N,"NO")</f>
        <v>0</v>
      </c>
      <c r="H10" s="19" t="str">
        <f aca="false">IF(C10=0,"",(D10+E10-K10)/C10)</f>
        <v/>
      </c>
      <c r="I10" s="20" t="str">
        <f aca="false">IFERROR(AVERAGEIFS(Asistencia!$L:$L,Asistencia!$I:$I,$B10,Asistencia!$M:$M,"Tarde"),"")</f>
        <v/>
      </c>
      <c r="J10" s="15" t="n">
        <f aca="false">COUNTIFS(Asistencia!$I:$I,$B10,Asistencia!$P:$P,"?*")</f>
        <v>0</v>
      </c>
      <c r="K10" s="15" t="n">
        <f aca="false">COUNTIFS(Asistencia!$I:$I,$B10,Asistencia!$R:$R,"No válida")</f>
        <v>0</v>
      </c>
    </row>
    <row r="11" customFormat="false" ht="15" hidden="false" customHeight="false" outlineLevel="0" collapsed="false">
      <c r="A11" s="14" t="s">
        <v>198</v>
      </c>
      <c r="B11" s="15" t="s">
        <v>199</v>
      </c>
      <c r="C11" s="15" t="n">
        <f aca="false">COUNTIFS(Asistencia!$I:$I,$B11)</f>
        <v>0</v>
      </c>
      <c r="D11" s="15" t="n">
        <f aca="false">COUNTIFS(Asistencia!$I:$I,$B11,Asistencia!$M:$M,"A tiempo")</f>
        <v>0</v>
      </c>
      <c r="E11" s="15" t="n">
        <f aca="false">COUNTIFS(Asistencia!$I:$I,$B11,Asistencia!$M:$M,"Tarde")</f>
        <v>0</v>
      </c>
      <c r="F11" s="15" t="n">
        <f aca="false">COUNTIFS(Asistencia!$I:$I,$B11,Asistencia!$M:$M,"No registró")</f>
        <v>0</v>
      </c>
      <c r="G11" s="15" t="n">
        <f aca="false">COUNTIFS(Asistencia!$I:$I,$B11,Asistencia!$N:$N,"NO")</f>
        <v>0</v>
      </c>
      <c r="H11" s="19" t="str">
        <f aca="false">IF(C11=0,"",(D11+E11-K11)/C11)</f>
        <v/>
      </c>
      <c r="I11" s="20" t="str">
        <f aca="false">IFERROR(AVERAGEIFS(Asistencia!$L:$L,Asistencia!$I:$I,$B11,Asistencia!$M:$M,"Tarde"),"")</f>
        <v/>
      </c>
      <c r="J11" s="15" t="n">
        <f aca="false">COUNTIFS(Asistencia!$I:$I,$B11,Asistencia!$P:$P,"?*")</f>
        <v>0</v>
      </c>
      <c r="K11" s="15" t="n">
        <f aca="false">COUNTIFS(Asistencia!$I:$I,$B11,Asistencia!$R:$R,"No válida")</f>
        <v>0</v>
      </c>
    </row>
    <row r="12" customFormat="false" ht="15" hidden="false" customHeight="false" outlineLevel="0" collapsed="false">
      <c r="A12" s="14" t="s">
        <v>145</v>
      </c>
      <c r="B12" s="15" t="s">
        <v>146</v>
      </c>
      <c r="C12" s="15" t="n">
        <f aca="false">COUNTIFS(Asistencia!$I:$I,$B12)</f>
        <v>0</v>
      </c>
      <c r="D12" s="15" t="n">
        <f aca="false">COUNTIFS(Asistencia!$I:$I,$B12,Asistencia!$M:$M,"A tiempo")</f>
        <v>0</v>
      </c>
      <c r="E12" s="15" t="n">
        <f aca="false">COUNTIFS(Asistencia!$I:$I,$B12,Asistencia!$M:$M,"Tarde")</f>
        <v>0</v>
      </c>
      <c r="F12" s="15" t="n">
        <f aca="false">COUNTIFS(Asistencia!$I:$I,$B12,Asistencia!$M:$M,"No registró")</f>
        <v>0</v>
      </c>
      <c r="G12" s="15" t="n">
        <f aca="false">COUNTIFS(Asistencia!$I:$I,$B12,Asistencia!$N:$N,"NO")</f>
        <v>0</v>
      </c>
      <c r="H12" s="19" t="str">
        <f aca="false">IF(C12=0,"",(D12+E12-K12)/C12)</f>
        <v/>
      </c>
      <c r="I12" s="20" t="str">
        <f aca="false">IFERROR(AVERAGEIFS(Asistencia!$L:$L,Asistencia!$I:$I,$B12,Asistencia!$M:$M,"Tarde"),"")</f>
        <v/>
      </c>
      <c r="J12" s="15" t="n">
        <f aca="false">COUNTIFS(Asistencia!$I:$I,$B12,Asistencia!$P:$P,"?*")</f>
        <v>0</v>
      </c>
      <c r="K12" s="15" t="n">
        <f aca="false">COUNTIFS(Asistencia!$I:$I,$B12,Asistencia!$R:$R,"No válida")</f>
        <v>0</v>
      </c>
    </row>
    <row r="13" customFormat="false" ht="15" hidden="false" customHeight="false" outlineLevel="0" collapsed="false">
      <c r="A13" s="14" t="s">
        <v>253</v>
      </c>
      <c r="B13" s="15" t="s">
        <v>254</v>
      </c>
      <c r="C13" s="15" t="n">
        <f aca="false">COUNTIFS(Asistencia!$I:$I,$B13)</f>
        <v>0</v>
      </c>
      <c r="D13" s="15" t="n">
        <f aca="false">COUNTIFS(Asistencia!$I:$I,$B13,Asistencia!$M:$M,"A tiempo")</f>
        <v>0</v>
      </c>
      <c r="E13" s="15" t="n">
        <f aca="false">COUNTIFS(Asistencia!$I:$I,$B13,Asistencia!$M:$M,"Tarde")</f>
        <v>0</v>
      </c>
      <c r="F13" s="15" t="n">
        <f aca="false">COUNTIFS(Asistencia!$I:$I,$B13,Asistencia!$M:$M,"No registró")</f>
        <v>0</v>
      </c>
      <c r="G13" s="15" t="n">
        <f aca="false">COUNTIFS(Asistencia!$I:$I,$B13,Asistencia!$N:$N,"NO")</f>
        <v>0</v>
      </c>
      <c r="H13" s="19" t="str">
        <f aca="false">IF(C13=0,"",(D13+E13-K13)/C13)</f>
        <v/>
      </c>
      <c r="I13" s="20" t="str">
        <f aca="false">IFERROR(AVERAGEIFS(Asistencia!$L:$L,Asistencia!$I:$I,$B13,Asistencia!$M:$M,"Tarde"),"")</f>
        <v/>
      </c>
      <c r="J13" s="15" t="n">
        <f aca="false">COUNTIFS(Asistencia!$I:$I,$B13,Asistencia!$P:$P,"?*")</f>
        <v>0</v>
      </c>
      <c r="K13" s="15" t="n">
        <f aca="false">COUNTIFS(Asistencia!$I:$I,$B13,Asistencia!$R:$R,"No válida")</f>
        <v>0</v>
      </c>
    </row>
    <row r="14" customFormat="false" ht="15" hidden="false" customHeight="false" outlineLevel="0" collapsed="false">
      <c r="A14" s="14" t="s">
        <v>271</v>
      </c>
      <c r="B14" s="15" t="s">
        <v>272</v>
      </c>
      <c r="C14" s="15" t="n">
        <f aca="false">COUNTIFS(Asistencia!$I:$I,$B14)</f>
        <v>0</v>
      </c>
      <c r="D14" s="15" t="n">
        <f aca="false">COUNTIFS(Asistencia!$I:$I,$B14,Asistencia!$M:$M,"A tiempo")</f>
        <v>0</v>
      </c>
      <c r="E14" s="15" t="n">
        <f aca="false">COUNTIFS(Asistencia!$I:$I,$B14,Asistencia!$M:$M,"Tarde")</f>
        <v>0</v>
      </c>
      <c r="F14" s="15" t="n">
        <f aca="false">COUNTIFS(Asistencia!$I:$I,$B14,Asistencia!$M:$M,"No registró")</f>
        <v>0</v>
      </c>
      <c r="G14" s="15" t="n">
        <f aca="false">COUNTIFS(Asistencia!$I:$I,$B14,Asistencia!$N:$N,"NO")</f>
        <v>0</v>
      </c>
      <c r="H14" s="19" t="str">
        <f aca="false">IF(C14=0,"",(D14+E14-K14)/C14)</f>
        <v/>
      </c>
      <c r="I14" s="20" t="str">
        <f aca="false">IFERROR(AVERAGEIFS(Asistencia!$L:$L,Asistencia!$I:$I,$B14,Asistencia!$M:$M,"Tarde"),"")</f>
        <v/>
      </c>
      <c r="J14" s="15" t="n">
        <f aca="false">COUNTIFS(Asistencia!$I:$I,$B14,Asistencia!$P:$P,"?*")</f>
        <v>0</v>
      </c>
      <c r="K14" s="15" t="n">
        <f aca="false">COUNTIFS(Asistencia!$I:$I,$B14,Asistencia!$R:$R,"No válida")</f>
        <v>0</v>
      </c>
    </row>
    <row r="15" customFormat="false" ht="15" hidden="false" customHeight="false" outlineLevel="0" collapsed="false">
      <c r="A15" s="14" t="s">
        <v>233</v>
      </c>
      <c r="B15" s="15" t="s">
        <v>234</v>
      </c>
      <c r="C15" s="15" t="n">
        <f aca="false">COUNTIFS(Asistencia!$I:$I,$B15)</f>
        <v>0</v>
      </c>
      <c r="D15" s="15" t="n">
        <f aca="false">COUNTIFS(Asistencia!$I:$I,$B15,Asistencia!$M:$M,"A tiempo")</f>
        <v>0</v>
      </c>
      <c r="E15" s="15" t="n">
        <f aca="false">COUNTIFS(Asistencia!$I:$I,$B15,Asistencia!$M:$M,"Tarde")</f>
        <v>0</v>
      </c>
      <c r="F15" s="15" t="n">
        <f aca="false">COUNTIFS(Asistencia!$I:$I,$B15,Asistencia!$M:$M,"No registró")</f>
        <v>0</v>
      </c>
      <c r="G15" s="15" t="n">
        <f aca="false">COUNTIFS(Asistencia!$I:$I,$B15,Asistencia!$N:$N,"NO")</f>
        <v>0</v>
      </c>
      <c r="H15" s="19" t="str">
        <f aca="false">IF(C15=0,"",(D15+E15-K15)/C15)</f>
        <v/>
      </c>
      <c r="I15" s="20" t="str">
        <f aca="false">IFERROR(AVERAGEIFS(Asistencia!$L:$L,Asistencia!$I:$I,$B15,Asistencia!$M:$M,"Tarde"),"")</f>
        <v/>
      </c>
      <c r="J15" s="15" t="n">
        <f aca="false">COUNTIFS(Asistencia!$I:$I,$B15,Asistencia!$P:$P,"?*")</f>
        <v>0</v>
      </c>
      <c r="K15" s="15" t="n">
        <f aca="false">COUNTIFS(Asistencia!$I:$I,$B15,Asistencia!$R:$R,"No válida")</f>
        <v>0</v>
      </c>
    </row>
    <row r="16" customFormat="false" ht="15" hidden="false" customHeight="false" outlineLevel="0" collapsed="false">
      <c r="A16" s="14" t="s">
        <v>317</v>
      </c>
      <c r="B16" s="15" t="s">
        <v>318</v>
      </c>
      <c r="C16" s="15" t="n">
        <f aca="false">COUNTIFS(Asistencia!$I:$I,$B16)</f>
        <v>0</v>
      </c>
      <c r="D16" s="15" t="n">
        <f aca="false">COUNTIFS(Asistencia!$I:$I,$B16,Asistencia!$M:$M,"A tiempo")</f>
        <v>0</v>
      </c>
      <c r="E16" s="15" t="n">
        <f aca="false">COUNTIFS(Asistencia!$I:$I,$B16,Asistencia!$M:$M,"Tarde")</f>
        <v>0</v>
      </c>
      <c r="F16" s="15" t="n">
        <f aca="false">COUNTIFS(Asistencia!$I:$I,$B16,Asistencia!$M:$M,"No registró")</f>
        <v>0</v>
      </c>
      <c r="G16" s="15" t="n">
        <f aca="false">COUNTIFS(Asistencia!$I:$I,$B16,Asistencia!$N:$N,"NO")</f>
        <v>0</v>
      </c>
      <c r="H16" s="19" t="str">
        <f aca="false">IF(C16=0,"",(D16+E16-K16)/C16)</f>
        <v/>
      </c>
      <c r="I16" s="20" t="str">
        <f aca="false">IFERROR(AVERAGEIFS(Asistencia!$L:$L,Asistencia!$I:$I,$B16,Asistencia!$M:$M,"Tarde"),"")</f>
        <v/>
      </c>
      <c r="J16" s="15" t="n">
        <f aca="false">COUNTIFS(Asistencia!$I:$I,$B16,Asistencia!$P:$P,"?*")</f>
        <v>0</v>
      </c>
      <c r="K16" s="15" t="n">
        <f aca="false">COUNTIFS(Asistencia!$I:$I,$B16,Asistencia!$R:$R,"No válida")</f>
        <v>0</v>
      </c>
    </row>
    <row r="17" customFormat="false" ht="15" hidden="false" customHeight="false" outlineLevel="0" collapsed="false">
      <c r="A17" s="14" t="s">
        <v>97</v>
      </c>
      <c r="B17" s="15" t="s">
        <v>98</v>
      </c>
      <c r="C17" s="15" t="n">
        <f aca="false">COUNTIFS(Asistencia!$I:$I,$B17)</f>
        <v>0</v>
      </c>
      <c r="D17" s="15" t="n">
        <f aca="false">COUNTIFS(Asistencia!$I:$I,$B17,Asistencia!$M:$M,"A tiempo")</f>
        <v>0</v>
      </c>
      <c r="E17" s="15" t="n">
        <f aca="false">COUNTIFS(Asistencia!$I:$I,$B17,Asistencia!$M:$M,"Tarde")</f>
        <v>0</v>
      </c>
      <c r="F17" s="15" t="n">
        <f aca="false">COUNTIFS(Asistencia!$I:$I,$B17,Asistencia!$M:$M,"No registró")</f>
        <v>0</v>
      </c>
      <c r="G17" s="15" t="n">
        <f aca="false">COUNTIFS(Asistencia!$I:$I,$B17,Asistencia!$N:$N,"NO")</f>
        <v>0</v>
      </c>
      <c r="H17" s="19" t="str">
        <f aca="false">IF(C17=0,"",(D17+E17-K17)/C17)</f>
        <v/>
      </c>
      <c r="I17" s="20" t="str">
        <f aca="false">IFERROR(AVERAGEIFS(Asistencia!$L:$L,Asistencia!$I:$I,$B17,Asistencia!$M:$M,"Tarde"),"")</f>
        <v/>
      </c>
      <c r="J17" s="15" t="n">
        <f aca="false">COUNTIFS(Asistencia!$I:$I,$B17,Asistencia!$P:$P,"?*")</f>
        <v>0</v>
      </c>
      <c r="K17" s="15" t="n">
        <f aca="false">COUNTIFS(Asistencia!$I:$I,$B17,Asistencia!$R:$R,"No válida")</f>
        <v>0</v>
      </c>
    </row>
    <row r="18" customFormat="false" ht="15" hidden="false" customHeight="false" outlineLevel="0" collapsed="false">
      <c r="A18" s="14" t="s">
        <v>151</v>
      </c>
      <c r="B18" s="15" t="s">
        <v>152</v>
      </c>
      <c r="C18" s="15" t="n">
        <f aca="false">COUNTIFS(Asistencia!$I:$I,$B18)</f>
        <v>0</v>
      </c>
      <c r="D18" s="15" t="n">
        <f aca="false">COUNTIFS(Asistencia!$I:$I,$B18,Asistencia!$M:$M,"A tiempo")</f>
        <v>0</v>
      </c>
      <c r="E18" s="15" t="n">
        <f aca="false">COUNTIFS(Asistencia!$I:$I,$B18,Asistencia!$M:$M,"Tarde")</f>
        <v>0</v>
      </c>
      <c r="F18" s="15" t="n">
        <f aca="false">COUNTIFS(Asistencia!$I:$I,$B18,Asistencia!$M:$M,"No registró")</f>
        <v>0</v>
      </c>
      <c r="G18" s="15" t="n">
        <f aca="false">COUNTIFS(Asistencia!$I:$I,$B18,Asistencia!$N:$N,"NO")</f>
        <v>0</v>
      </c>
      <c r="H18" s="19" t="str">
        <f aca="false">IF(C18=0,"",(D18+E18-K18)/C18)</f>
        <v/>
      </c>
      <c r="I18" s="20" t="str">
        <f aca="false">IFERROR(AVERAGEIFS(Asistencia!$L:$L,Asistencia!$I:$I,$B18,Asistencia!$M:$M,"Tarde"),"")</f>
        <v/>
      </c>
      <c r="J18" s="15" t="n">
        <f aca="false">COUNTIFS(Asistencia!$I:$I,$B18,Asistencia!$P:$P,"?*")</f>
        <v>0</v>
      </c>
      <c r="K18" s="15" t="n">
        <f aca="false">COUNTIFS(Asistencia!$I:$I,$B18,Asistencia!$R:$R,"No válida")</f>
        <v>0</v>
      </c>
    </row>
    <row r="19" customFormat="false" ht="15" hidden="false" customHeight="false" outlineLevel="0" collapsed="false">
      <c r="A19" s="14" t="s">
        <v>168</v>
      </c>
      <c r="B19" s="15" t="s">
        <v>169</v>
      </c>
      <c r="C19" s="15" t="n">
        <f aca="false">COUNTIFS(Asistencia!$I:$I,$B19)</f>
        <v>0</v>
      </c>
      <c r="D19" s="15" t="n">
        <f aca="false">COUNTIFS(Asistencia!$I:$I,$B19,Asistencia!$M:$M,"A tiempo")</f>
        <v>0</v>
      </c>
      <c r="E19" s="15" t="n">
        <f aca="false">COUNTIFS(Asistencia!$I:$I,$B19,Asistencia!$M:$M,"Tarde")</f>
        <v>0</v>
      </c>
      <c r="F19" s="15" t="n">
        <f aca="false">COUNTIFS(Asistencia!$I:$I,$B19,Asistencia!$M:$M,"No registró")</f>
        <v>0</v>
      </c>
      <c r="G19" s="15" t="n">
        <f aca="false">COUNTIFS(Asistencia!$I:$I,$B19,Asistencia!$N:$N,"NO")</f>
        <v>0</v>
      </c>
      <c r="H19" s="19" t="str">
        <f aca="false">IF(C19=0,"",(D19+E19-K19)/C19)</f>
        <v/>
      </c>
      <c r="I19" s="20" t="str">
        <f aca="false">IFERROR(AVERAGEIFS(Asistencia!$L:$L,Asistencia!$I:$I,$B19,Asistencia!$M:$M,"Tarde"),"")</f>
        <v/>
      </c>
      <c r="J19" s="15" t="n">
        <f aca="false">COUNTIFS(Asistencia!$I:$I,$B19,Asistencia!$P:$P,"?*")</f>
        <v>0</v>
      </c>
      <c r="K19" s="15" t="n">
        <f aca="false">COUNTIFS(Asistencia!$I:$I,$B19,Asistencia!$R:$R,"No válida")</f>
        <v>0</v>
      </c>
    </row>
    <row r="20" customFormat="false" ht="15" hidden="false" customHeight="false" outlineLevel="0" collapsed="false">
      <c r="A20" s="14" t="s">
        <v>115</v>
      </c>
      <c r="B20" s="15" t="s">
        <v>116</v>
      </c>
      <c r="C20" s="15" t="n">
        <f aca="false">COUNTIFS(Asistencia!$I:$I,$B20)</f>
        <v>0</v>
      </c>
      <c r="D20" s="15" t="n">
        <f aca="false">COUNTIFS(Asistencia!$I:$I,$B20,Asistencia!$M:$M,"A tiempo")</f>
        <v>0</v>
      </c>
      <c r="E20" s="15" t="n">
        <f aca="false">COUNTIFS(Asistencia!$I:$I,$B20,Asistencia!$M:$M,"Tarde")</f>
        <v>0</v>
      </c>
      <c r="F20" s="15" t="n">
        <f aca="false">COUNTIFS(Asistencia!$I:$I,$B20,Asistencia!$M:$M,"No registró")</f>
        <v>0</v>
      </c>
      <c r="G20" s="15" t="n">
        <f aca="false">COUNTIFS(Asistencia!$I:$I,$B20,Asistencia!$N:$N,"NO")</f>
        <v>0</v>
      </c>
      <c r="H20" s="19" t="str">
        <f aca="false">IF(C20=0,"",(D20+E20-K20)/C20)</f>
        <v/>
      </c>
      <c r="I20" s="20" t="str">
        <f aca="false">IFERROR(AVERAGEIFS(Asistencia!$L:$L,Asistencia!$I:$I,$B20,Asistencia!$M:$M,"Tarde"),"")</f>
        <v/>
      </c>
      <c r="J20" s="15" t="n">
        <f aca="false">COUNTIFS(Asistencia!$I:$I,$B20,Asistencia!$P:$P,"?*")</f>
        <v>0</v>
      </c>
      <c r="K20" s="15" t="n">
        <f aca="false">COUNTIFS(Asistencia!$I:$I,$B20,Asistencia!$R:$R,"No válida")</f>
        <v>0</v>
      </c>
    </row>
    <row r="21" customFormat="false" ht="15" hidden="false" customHeight="false" outlineLevel="0" collapsed="false">
      <c r="A21" s="14" t="s">
        <v>276</v>
      </c>
      <c r="B21" s="15" t="s">
        <v>277</v>
      </c>
      <c r="C21" s="15" t="n">
        <f aca="false">COUNTIFS(Asistencia!$I:$I,$B21)</f>
        <v>0</v>
      </c>
      <c r="D21" s="15" t="n">
        <f aca="false">COUNTIFS(Asistencia!$I:$I,$B21,Asistencia!$M:$M,"A tiempo")</f>
        <v>0</v>
      </c>
      <c r="E21" s="15" t="n">
        <f aca="false">COUNTIFS(Asistencia!$I:$I,$B21,Asistencia!$M:$M,"Tarde")</f>
        <v>0</v>
      </c>
      <c r="F21" s="15" t="n">
        <f aca="false">COUNTIFS(Asistencia!$I:$I,$B21,Asistencia!$M:$M,"No registró")</f>
        <v>0</v>
      </c>
      <c r="G21" s="15" t="n">
        <f aca="false">COUNTIFS(Asistencia!$I:$I,$B21,Asistencia!$N:$N,"NO")</f>
        <v>0</v>
      </c>
      <c r="H21" s="19" t="str">
        <f aca="false">IF(C21=0,"",(D21+E21-K21)/C21)</f>
        <v/>
      </c>
      <c r="I21" s="20" t="str">
        <f aca="false">IFERROR(AVERAGEIFS(Asistencia!$L:$L,Asistencia!$I:$I,$B21,Asistencia!$M:$M,"Tarde"),"")</f>
        <v/>
      </c>
      <c r="J21" s="15" t="n">
        <f aca="false">COUNTIFS(Asistencia!$I:$I,$B21,Asistencia!$P:$P,"?*")</f>
        <v>0</v>
      </c>
      <c r="K21" s="15" t="n">
        <f aca="false">COUNTIFS(Asistencia!$I:$I,$B21,Asistencia!$R:$R,"No válida")</f>
        <v>0</v>
      </c>
    </row>
    <row r="22" customFormat="false" ht="15" hidden="false" customHeight="false" outlineLevel="0" collapsed="false">
      <c r="A22" s="14" t="s">
        <v>258</v>
      </c>
      <c r="B22" s="15" t="s">
        <v>259</v>
      </c>
      <c r="C22" s="15" t="n">
        <f aca="false">COUNTIFS(Asistencia!$I:$I,$B22)</f>
        <v>0</v>
      </c>
      <c r="D22" s="15" t="n">
        <f aca="false">COUNTIFS(Asistencia!$I:$I,$B22,Asistencia!$M:$M,"A tiempo")</f>
        <v>0</v>
      </c>
      <c r="E22" s="15" t="n">
        <f aca="false">COUNTIFS(Asistencia!$I:$I,$B22,Asistencia!$M:$M,"Tarde")</f>
        <v>0</v>
      </c>
      <c r="F22" s="15" t="n">
        <f aca="false">COUNTIFS(Asistencia!$I:$I,$B22,Asistencia!$M:$M,"No registró")</f>
        <v>0</v>
      </c>
      <c r="G22" s="15" t="n">
        <f aca="false">COUNTIFS(Asistencia!$I:$I,$B22,Asistencia!$N:$N,"NO")</f>
        <v>0</v>
      </c>
      <c r="H22" s="19" t="str">
        <f aca="false">IF(C22=0,"",(D22+E22-K22)/C22)</f>
        <v/>
      </c>
      <c r="I22" s="20" t="str">
        <f aca="false">IFERROR(AVERAGEIFS(Asistencia!$L:$L,Asistencia!$I:$I,$B22,Asistencia!$M:$M,"Tarde"),"")</f>
        <v/>
      </c>
      <c r="J22" s="15" t="n">
        <f aca="false">COUNTIFS(Asistencia!$I:$I,$B22,Asistencia!$P:$P,"?*")</f>
        <v>0</v>
      </c>
      <c r="K22" s="15" t="n">
        <f aca="false">COUNTIFS(Asistencia!$I:$I,$B22,Asistencia!$R:$R,"No válida")</f>
        <v>0</v>
      </c>
    </row>
    <row r="23" customFormat="false" ht="15" hidden="false" customHeight="false" outlineLevel="0" collapsed="false">
      <c r="A23" s="14" t="s">
        <v>357</v>
      </c>
      <c r="B23" s="15" t="s">
        <v>358</v>
      </c>
      <c r="C23" s="15" t="n">
        <f aca="false">COUNTIFS(Asistencia!$I:$I,$B23)</f>
        <v>0</v>
      </c>
      <c r="D23" s="15" t="n">
        <f aca="false">COUNTIFS(Asistencia!$I:$I,$B23,Asistencia!$M:$M,"A tiempo")</f>
        <v>0</v>
      </c>
      <c r="E23" s="15" t="n">
        <f aca="false">COUNTIFS(Asistencia!$I:$I,$B23,Asistencia!$M:$M,"Tarde")</f>
        <v>0</v>
      </c>
      <c r="F23" s="15" t="n">
        <f aca="false">COUNTIFS(Asistencia!$I:$I,$B23,Asistencia!$M:$M,"No registró")</f>
        <v>0</v>
      </c>
      <c r="G23" s="15" t="n">
        <f aca="false">COUNTIFS(Asistencia!$I:$I,$B23,Asistencia!$N:$N,"NO")</f>
        <v>0</v>
      </c>
      <c r="H23" s="19" t="str">
        <f aca="false">IF(C23=0,"",(D23+E23-K23)/C23)</f>
        <v/>
      </c>
      <c r="I23" s="20" t="str">
        <f aca="false">IFERROR(AVERAGEIFS(Asistencia!$L:$L,Asistencia!$I:$I,$B23,Asistencia!$M:$M,"Tarde"),"")</f>
        <v/>
      </c>
      <c r="J23" s="15" t="n">
        <f aca="false">COUNTIFS(Asistencia!$I:$I,$B23,Asistencia!$P:$P,"?*")</f>
        <v>0</v>
      </c>
      <c r="K23" s="15" t="n">
        <f aca="false">COUNTIFS(Asistencia!$I:$I,$B23,Asistencia!$R:$R,"No válida")</f>
        <v>0</v>
      </c>
    </row>
    <row r="24" customFormat="false" ht="15" hidden="false" customHeight="false" outlineLevel="0" collapsed="false">
      <c r="A24" s="14" t="s">
        <v>139</v>
      </c>
      <c r="B24" s="15" t="s">
        <v>140</v>
      </c>
      <c r="C24" s="15" t="n">
        <f aca="false">COUNTIFS(Asistencia!$I:$I,$B24)</f>
        <v>0</v>
      </c>
      <c r="D24" s="15" t="n">
        <f aca="false">COUNTIFS(Asistencia!$I:$I,$B24,Asistencia!$M:$M,"A tiempo")</f>
        <v>0</v>
      </c>
      <c r="E24" s="15" t="n">
        <f aca="false">COUNTIFS(Asistencia!$I:$I,$B24,Asistencia!$M:$M,"Tarde")</f>
        <v>0</v>
      </c>
      <c r="F24" s="15" t="n">
        <f aca="false">COUNTIFS(Asistencia!$I:$I,$B24,Asistencia!$M:$M,"No registró")</f>
        <v>0</v>
      </c>
      <c r="G24" s="15" t="n">
        <f aca="false">COUNTIFS(Asistencia!$I:$I,$B24,Asistencia!$N:$N,"NO")</f>
        <v>0</v>
      </c>
      <c r="H24" s="19" t="str">
        <f aca="false">IF(C24=0,"",(D24+E24-K24)/C24)</f>
        <v/>
      </c>
      <c r="I24" s="20" t="str">
        <f aca="false">IFERROR(AVERAGEIFS(Asistencia!$L:$L,Asistencia!$I:$I,$B24,Asistencia!$M:$M,"Tarde"),"")</f>
        <v/>
      </c>
      <c r="J24" s="15" t="n">
        <f aca="false">COUNTIFS(Asistencia!$I:$I,$B24,Asistencia!$P:$P,"?*")</f>
        <v>0</v>
      </c>
      <c r="K24" s="15" t="n">
        <f aca="false">COUNTIFS(Asistencia!$I:$I,$B24,Asistencia!$R:$R,"No válida")</f>
        <v>0</v>
      </c>
    </row>
    <row r="25" customFormat="false" ht="15" hidden="false" customHeight="false" outlineLevel="0" collapsed="false">
      <c r="A25" s="14" t="s">
        <v>185</v>
      </c>
      <c r="B25" s="15" t="s">
        <v>186</v>
      </c>
      <c r="C25" s="15" t="n">
        <f aca="false">COUNTIFS(Asistencia!$I:$I,$B25)</f>
        <v>0</v>
      </c>
      <c r="D25" s="15" t="n">
        <f aca="false">COUNTIFS(Asistencia!$I:$I,$B25,Asistencia!$M:$M,"A tiempo")</f>
        <v>0</v>
      </c>
      <c r="E25" s="15" t="n">
        <f aca="false">COUNTIFS(Asistencia!$I:$I,$B25,Asistencia!$M:$M,"Tarde")</f>
        <v>0</v>
      </c>
      <c r="F25" s="15" t="n">
        <f aca="false">COUNTIFS(Asistencia!$I:$I,$B25,Asistencia!$M:$M,"No registró")</f>
        <v>0</v>
      </c>
      <c r="G25" s="15" t="n">
        <f aca="false">COUNTIFS(Asistencia!$I:$I,$B25,Asistencia!$N:$N,"NO")</f>
        <v>0</v>
      </c>
      <c r="H25" s="19" t="str">
        <f aca="false">IF(C25=0,"",(D25+E25-K25)/C25)</f>
        <v/>
      </c>
      <c r="I25" s="20" t="str">
        <f aca="false">IFERROR(AVERAGEIFS(Asistencia!$L:$L,Asistencia!$I:$I,$B25,Asistencia!$M:$M,"Tarde"),"")</f>
        <v/>
      </c>
      <c r="J25" s="15" t="n">
        <f aca="false">COUNTIFS(Asistencia!$I:$I,$B25,Asistencia!$P:$P,"?*")</f>
        <v>0</v>
      </c>
      <c r="K25" s="15" t="n">
        <f aca="false">COUNTIFS(Asistencia!$I:$I,$B25,Asistencia!$R:$R,"No válida")</f>
        <v>0</v>
      </c>
    </row>
    <row r="26" customFormat="false" ht="15" hidden="false" customHeight="false" outlineLevel="0" collapsed="false">
      <c r="A26" s="14" t="s">
        <v>90</v>
      </c>
      <c r="B26" s="15" t="s">
        <v>91</v>
      </c>
      <c r="C26" s="15" t="n">
        <f aca="false">COUNTIFS(Asistencia!$I:$I,$B26)</f>
        <v>0</v>
      </c>
      <c r="D26" s="15" t="n">
        <f aca="false">COUNTIFS(Asistencia!$I:$I,$B26,Asistencia!$M:$M,"A tiempo")</f>
        <v>0</v>
      </c>
      <c r="E26" s="15" t="n">
        <f aca="false">COUNTIFS(Asistencia!$I:$I,$B26,Asistencia!$M:$M,"Tarde")</f>
        <v>0</v>
      </c>
      <c r="F26" s="15" t="n">
        <f aca="false">COUNTIFS(Asistencia!$I:$I,$B26,Asistencia!$M:$M,"No registró")</f>
        <v>0</v>
      </c>
      <c r="G26" s="15" t="n">
        <f aca="false">COUNTIFS(Asistencia!$I:$I,$B26,Asistencia!$N:$N,"NO")</f>
        <v>0</v>
      </c>
      <c r="H26" s="19" t="str">
        <f aca="false">IF(C26=0,"",(D26+E26-K26)/C26)</f>
        <v/>
      </c>
      <c r="I26" s="20" t="str">
        <f aca="false">IFERROR(AVERAGEIFS(Asistencia!$L:$L,Asistencia!$I:$I,$B26,Asistencia!$M:$M,"Tarde"),"")</f>
        <v/>
      </c>
      <c r="J26" s="15" t="n">
        <f aca="false">COUNTIFS(Asistencia!$I:$I,$B26,Asistencia!$P:$P,"?*")</f>
        <v>0</v>
      </c>
      <c r="K26" s="15" t="n">
        <f aca="false">COUNTIFS(Asistencia!$I:$I,$B26,Asistencia!$R:$R,"No válida")</f>
        <v>0</v>
      </c>
    </row>
    <row r="27" customFormat="false" ht="15" hidden="false" customHeight="false" outlineLevel="0" collapsed="false">
      <c r="A27" s="14" t="s">
        <v>209</v>
      </c>
      <c r="B27" s="15" t="s">
        <v>210</v>
      </c>
      <c r="C27" s="15" t="n">
        <f aca="false">COUNTIFS(Asistencia!$I:$I,$B27)</f>
        <v>0</v>
      </c>
      <c r="D27" s="15" t="n">
        <f aca="false">COUNTIFS(Asistencia!$I:$I,$B27,Asistencia!$M:$M,"A tiempo")</f>
        <v>0</v>
      </c>
      <c r="E27" s="15" t="n">
        <f aca="false">COUNTIFS(Asistencia!$I:$I,$B27,Asistencia!$M:$M,"Tarde")</f>
        <v>0</v>
      </c>
      <c r="F27" s="15" t="n">
        <f aca="false">COUNTIFS(Asistencia!$I:$I,$B27,Asistencia!$M:$M,"No registró")</f>
        <v>0</v>
      </c>
      <c r="G27" s="15" t="n">
        <f aca="false">COUNTIFS(Asistencia!$I:$I,$B27,Asistencia!$N:$N,"NO")</f>
        <v>0</v>
      </c>
      <c r="H27" s="19" t="str">
        <f aca="false">IF(C27=0,"",(D27+E27-K27)/C27)</f>
        <v/>
      </c>
      <c r="I27" s="20" t="str">
        <f aca="false">IFERROR(AVERAGEIFS(Asistencia!$L:$L,Asistencia!$I:$I,$B27,Asistencia!$M:$M,"Tarde"),"")</f>
        <v/>
      </c>
      <c r="J27" s="15" t="n">
        <f aca="false">COUNTIFS(Asistencia!$I:$I,$B27,Asistencia!$P:$P,"?*")</f>
        <v>0</v>
      </c>
      <c r="K27" s="15" t="n">
        <f aca="false">COUNTIFS(Asistencia!$I:$I,$B27,Asistencia!$R:$R,"No válida")</f>
        <v>0</v>
      </c>
    </row>
    <row r="28" customFormat="false" ht="15" hidden="false" customHeight="false" outlineLevel="0" collapsed="false">
      <c r="A28" s="14" t="s">
        <v>263</v>
      </c>
      <c r="B28" s="15" t="s">
        <v>264</v>
      </c>
      <c r="C28" s="15" t="n">
        <f aca="false">COUNTIFS(Asistencia!$I:$I,$B28)</f>
        <v>0</v>
      </c>
      <c r="D28" s="15" t="n">
        <f aca="false">COUNTIFS(Asistencia!$I:$I,$B28,Asistencia!$M:$M,"A tiempo")</f>
        <v>0</v>
      </c>
      <c r="E28" s="15" t="n">
        <f aca="false">COUNTIFS(Asistencia!$I:$I,$B28,Asistencia!$M:$M,"Tarde")</f>
        <v>0</v>
      </c>
      <c r="F28" s="15" t="n">
        <f aca="false">COUNTIFS(Asistencia!$I:$I,$B28,Asistencia!$M:$M,"No registró")</f>
        <v>0</v>
      </c>
      <c r="G28" s="15" t="n">
        <f aca="false">COUNTIFS(Asistencia!$I:$I,$B28,Asistencia!$N:$N,"NO")</f>
        <v>0</v>
      </c>
      <c r="H28" s="19" t="str">
        <f aca="false">IF(C28=0,"",(D28+E28-K28)/C28)</f>
        <v/>
      </c>
      <c r="I28" s="20" t="str">
        <f aca="false">IFERROR(AVERAGEIFS(Asistencia!$L:$L,Asistencia!$I:$I,$B28,Asistencia!$M:$M,"Tarde"),"")</f>
        <v/>
      </c>
      <c r="J28" s="15" t="n">
        <f aca="false">COUNTIFS(Asistencia!$I:$I,$B28,Asistencia!$P:$P,"?*")</f>
        <v>0</v>
      </c>
      <c r="K28" s="15" t="n">
        <f aca="false">COUNTIFS(Asistencia!$I:$I,$B28,Asistencia!$R:$R,"No válida")</f>
        <v>0</v>
      </c>
    </row>
    <row r="29" customFormat="false" ht="15" hidden="false" customHeight="false" outlineLevel="0" collapsed="false">
      <c r="A29" s="14" t="s">
        <v>397</v>
      </c>
      <c r="B29" s="15" t="s">
        <v>398</v>
      </c>
      <c r="C29" s="15" t="n">
        <f aca="false">COUNTIFS(Asistencia!$I:$I,$B29)</f>
        <v>0</v>
      </c>
      <c r="D29" s="15" t="n">
        <f aca="false">COUNTIFS(Asistencia!$I:$I,$B29,Asistencia!$M:$M,"A tiempo")</f>
        <v>0</v>
      </c>
      <c r="E29" s="15" t="n">
        <f aca="false">COUNTIFS(Asistencia!$I:$I,$B29,Asistencia!$M:$M,"Tarde")</f>
        <v>0</v>
      </c>
      <c r="F29" s="15" t="n">
        <f aca="false">COUNTIFS(Asistencia!$I:$I,$B29,Asistencia!$M:$M,"No registró")</f>
        <v>0</v>
      </c>
      <c r="G29" s="15" t="n">
        <f aca="false">COUNTIFS(Asistencia!$I:$I,$B29,Asistencia!$N:$N,"NO")</f>
        <v>0</v>
      </c>
      <c r="H29" s="19" t="str">
        <f aca="false">IF(C29=0,"",(D29+E29-K29)/C29)</f>
        <v/>
      </c>
      <c r="I29" s="20" t="str">
        <f aca="false">IFERROR(AVERAGEIFS(Asistencia!$L:$L,Asistencia!$I:$I,$B29,Asistencia!$M:$M,"Tarde"),"")</f>
        <v/>
      </c>
      <c r="J29" s="15" t="n">
        <f aca="false">COUNTIFS(Asistencia!$I:$I,$B29,Asistencia!$P:$P,"?*")</f>
        <v>0</v>
      </c>
      <c r="K29" s="15" t="n">
        <f aca="false">COUNTIFS(Asistencia!$I:$I,$B29,Asistencia!$R:$R,"No válida")</f>
        <v>0</v>
      </c>
    </row>
    <row r="30" customFormat="false" ht="15" hidden="false" customHeight="false" outlineLevel="0" collapsed="false">
      <c r="A30" s="14" t="s">
        <v>178</v>
      </c>
      <c r="B30" s="15" t="s">
        <v>179</v>
      </c>
      <c r="C30" s="15" t="n">
        <f aca="false">COUNTIFS(Asistencia!$I:$I,$B30)</f>
        <v>0</v>
      </c>
      <c r="D30" s="15" t="n">
        <f aca="false">COUNTIFS(Asistencia!$I:$I,$B30,Asistencia!$M:$M,"A tiempo")</f>
        <v>0</v>
      </c>
      <c r="E30" s="15" t="n">
        <f aca="false">COUNTIFS(Asistencia!$I:$I,$B30,Asistencia!$M:$M,"Tarde")</f>
        <v>0</v>
      </c>
      <c r="F30" s="15" t="n">
        <f aca="false">COUNTIFS(Asistencia!$I:$I,$B30,Asistencia!$M:$M,"No registró")</f>
        <v>0</v>
      </c>
      <c r="G30" s="15" t="n">
        <f aca="false">COUNTIFS(Asistencia!$I:$I,$B30,Asistencia!$N:$N,"NO")</f>
        <v>0</v>
      </c>
      <c r="H30" s="19" t="str">
        <f aca="false">IF(C30=0,"",(D30+E30-K30)/C30)</f>
        <v/>
      </c>
      <c r="I30" s="20" t="str">
        <f aca="false">IFERROR(AVERAGEIFS(Asistencia!$L:$L,Asistencia!$I:$I,$B30,Asistencia!$M:$M,"Tarde"),"")</f>
        <v/>
      </c>
      <c r="J30" s="15" t="n">
        <f aca="false">COUNTIFS(Asistencia!$I:$I,$B30,Asistencia!$P:$P,"?*")</f>
        <v>0</v>
      </c>
      <c r="K30" s="15" t="n">
        <f aca="false">COUNTIFS(Asistencia!$I:$I,$B30,Asistencia!$R:$R,"No válida")</f>
        <v>0</v>
      </c>
    </row>
    <row r="31" customFormat="false" ht="15" hidden="false" customHeight="false" outlineLevel="0" collapsed="false">
      <c r="A31" s="14" t="s">
        <v>204</v>
      </c>
      <c r="B31" s="15" t="s">
        <v>205</v>
      </c>
      <c r="C31" s="15" t="n">
        <f aca="false">COUNTIFS(Asistencia!$I:$I,$B31)</f>
        <v>0</v>
      </c>
      <c r="D31" s="15" t="n">
        <f aca="false">COUNTIFS(Asistencia!$I:$I,$B31,Asistencia!$M:$M,"A tiempo")</f>
        <v>0</v>
      </c>
      <c r="E31" s="15" t="n">
        <f aca="false">COUNTIFS(Asistencia!$I:$I,$B31,Asistencia!$M:$M,"Tarde")</f>
        <v>0</v>
      </c>
      <c r="F31" s="15" t="n">
        <f aca="false">COUNTIFS(Asistencia!$I:$I,$B31,Asistencia!$M:$M,"No registró")</f>
        <v>0</v>
      </c>
      <c r="G31" s="15" t="n">
        <f aca="false">COUNTIFS(Asistencia!$I:$I,$B31,Asistencia!$N:$N,"NO")</f>
        <v>0</v>
      </c>
      <c r="H31" s="19" t="str">
        <f aca="false">IF(C31=0,"",(D31+E31-K31)/C31)</f>
        <v/>
      </c>
      <c r="I31" s="20" t="str">
        <f aca="false">IFERROR(AVERAGEIFS(Asistencia!$L:$L,Asistencia!$I:$I,$B31,Asistencia!$M:$M,"Tarde"),"")</f>
        <v/>
      </c>
      <c r="J31" s="15" t="n">
        <f aca="false">COUNTIFS(Asistencia!$I:$I,$B31,Asistencia!$P:$P,"?*")</f>
        <v>0</v>
      </c>
      <c r="K31" s="15" t="n">
        <f aca="false">COUNTIFS(Asistencia!$I:$I,$B31,Asistencia!$R:$R,"No válida")</f>
        <v>0</v>
      </c>
    </row>
    <row r="32" customFormat="false" ht="15" hidden="false" customHeight="false" outlineLevel="0" collapsed="false">
      <c r="A32" s="14" t="s">
        <v>127</v>
      </c>
      <c r="B32" s="15" t="s">
        <v>128</v>
      </c>
      <c r="C32" s="15" t="n">
        <f aca="false">COUNTIFS(Asistencia!$I:$I,$B32)</f>
        <v>0</v>
      </c>
      <c r="D32" s="15" t="n">
        <f aca="false">COUNTIFS(Asistencia!$I:$I,$B32,Asistencia!$M:$M,"A tiempo")</f>
        <v>0</v>
      </c>
      <c r="E32" s="15" t="n">
        <f aca="false">COUNTIFS(Asistencia!$I:$I,$B32,Asistencia!$M:$M,"Tarde")</f>
        <v>0</v>
      </c>
      <c r="F32" s="15" t="n">
        <f aca="false">COUNTIFS(Asistencia!$I:$I,$B32,Asistencia!$M:$M,"No registró")</f>
        <v>0</v>
      </c>
      <c r="G32" s="15" t="n">
        <f aca="false">COUNTIFS(Asistencia!$I:$I,$B32,Asistencia!$N:$N,"NO")</f>
        <v>0</v>
      </c>
      <c r="H32" s="19" t="str">
        <f aca="false">IF(C32=0,"",(D32+E32-K32)/C32)</f>
        <v/>
      </c>
      <c r="I32" s="20" t="str">
        <f aca="false">IFERROR(AVERAGEIFS(Asistencia!$L:$L,Asistencia!$I:$I,$B32,Asistencia!$M:$M,"Tarde"),"")</f>
        <v/>
      </c>
      <c r="J32" s="15" t="n">
        <f aca="false">COUNTIFS(Asistencia!$I:$I,$B32,Asistencia!$P:$P,"?*")</f>
        <v>0</v>
      </c>
      <c r="K32" s="15" t="n">
        <f aca="false">COUNTIFS(Asistencia!$I:$I,$B32,Asistencia!$R:$R,"No válida")</f>
        <v>0</v>
      </c>
    </row>
    <row r="33" customFormat="false" ht="15" hidden="false" customHeight="false" outlineLevel="0" collapsed="false">
      <c r="A33" s="14" t="s">
        <v>296</v>
      </c>
      <c r="B33" s="15" t="s">
        <v>297</v>
      </c>
      <c r="C33" s="15" t="n">
        <f aca="false">COUNTIFS(Asistencia!$I:$I,$B33)</f>
        <v>0</v>
      </c>
      <c r="D33" s="15" t="n">
        <f aca="false">COUNTIFS(Asistencia!$I:$I,$B33,Asistencia!$M:$M,"A tiempo")</f>
        <v>0</v>
      </c>
      <c r="E33" s="15" t="n">
        <f aca="false">COUNTIFS(Asistencia!$I:$I,$B33,Asistencia!$M:$M,"Tarde")</f>
        <v>0</v>
      </c>
      <c r="F33" s="15" t="n">
        <f aca="false">COUNTIFS(Asistencia!$I:$I,$B33,Asistencia!$M:$M,"No registró")</f>
        <v>0</v>
      </c>
      <c r="G33" s="15" t="n">
        <f aca="false">COUNTIFS(Asistencia!$I:$I,$B33,Asistencia!$N:$N,"NO")</f>
        <v>0</v>
      </c>
      <c r="H33" s="19" t="str">
        <f aca="false">IF(C33=0,"",(D33+E33-K33)/C33)</f>
        <v/>
      </c>
      <c r="I33" s="20" t="str">
        <f aca="false">IFERROR(AVERAGEIFS(Asistencia!$L:$L,Asistencia!$I:$I,$B33,Asistencia!$M:$M,"Tarde"),"")</f>
        <v/>
      </c>
      <c r="J33" s="15" t="n">
        <f aca="false">COUNTIFS(Asistencia!$I:$I,$B33,Asistencia!$P:$P,"?*")</f>
        <v>0</v>
      </c>
      <c r="K33" s="15" t="n">
        <f aca="false">COUNTIFS(Asistencia!$I:$I,$B33,Asistencia!$R:$R,"No válida")</f>
        <v>0</v>
      </c>
    </row>
    <row r="34" customFormat="false" ht="15" hidden="false" customHeight="false" outlineLevel="0" collapsed="false">
      <c r="A34" s="14" t="s">
        <v>332</v>
      </c>
      <c r="B34" s="15" t="s">
        <v>333</v>
      </c>
      <c r="C34" s="15" t="n">
        <f aca="false">COUNTIFS(Asistencia!$I:$I,$B34)</f>
        <v>0</v>
      </c>
      <c r="D34" s="15" t="n">
        <f aca="false">COUNTIFS(Asistencia!$I:$I,$B34,Asistencia!$M:$M,"A tiempo")</f>
        <v>0</v>
      </c>
      <c r="E34" s="15" t="n">
        <f aca="false">COUNTIFS(Asistencia!$I:$I,$B34,Asistencia!$M:$M,"Tarde")</f>
        <v>0</v>
      </c>
      <c r="F34" s="15" t="n">
        <f aca="false">COUNTIFS(Asistencia!$I:$I,$B34,Asistencia!$M:$M,"No registró")</f>
        <v>0</v>
      </c>
      <c r="G34" s="15" t="n">
        <f aca="false">COUNTIFS(Asistencia!$I:$I,$B34,Asistencia!$N:$N,"NO")</f>
        <v>0</v>
      </c>
      <c r="H34" s="19" t="str">
        <f aca="false">IF(C34=0,"",(D34+E34-K34)/C34)</f>
        <v/>
      </c>
      <c r="I34" s="20" t="str">
        <f aca="false">IFERROR(AVERAGEIFS(Asistencia!$L:$L,Asistencia!$I:$I,$B34,Asistencia!$M:$M,"Tarde"),"")</f>
        <v/>
      </c>
      <c r="J34" s="15" t="n">
        <f aca="false">COUNTIFS(Asistencia!$I:$I,$B34,Asistencia!$P:$P,"?*")</f>
        <v>0</v>
      </c>
      <c r="K34" s="15" t="n">
        <f aca="false">COUNTIFS(Asistencia!$I:$I,$B34,Asistencia!$R:$R,"No válida")</f>
        <v>0</v>
      </c>
    </row>
    <row r="35" customFormat="false" ht="15" hidden="false" customHeight="false" outlineLevel="0" collapsed="false">
      <c r="A35" s="14" t="s">
        <v>225</v>
      </c>
      <c r="B35" s="15" t="s">
        <v>226</v>
      </c>
      <c r="C35" s="15" t="n">
        <f aca="false">COUNTIFS(Asistencia!$I:$I,$B35)</f>
        <v>0</v>
      </c>
      <c r="D35" s="15" t="n">
        <f aca="false">COUNTIFS(Asistencia!$I:$I,$B35,Asistencia!$M:$M,"A tiempo")</f>
        <v>0</v>
      </c>
      <c r="E35" s="15" t="n">
        <f aca="false">COUNTIFS(Asistencia!$I:$I,$B35,Asistencia!$M:$M,"Tarde")</f>
        <v>0</v>
      </c>
      <c r="F35" s="15" t="n">
        <f aca="false">COUNTIFS(Asistencia!$I:$I,$B35,Asistencia!$M:$M,"No registró")</f>
        <v>0</v>
      </c>
      <c r="G35" s="15" t="n">
        <f aca="false">COUNTIFS(Asistencia!$I:$I,$B35,Asistencia!$N:$N,"NO")</f>
        <v>0</v>
      </c>
      <c r="H35" s="19" t="str">
        <f aca="false">IF(C35=0,"",(D35+E35-K35)/C35)</f>
        <v/>
      </c>
      <c r="I35" s="20" t="str">
        <f aca="false">IFERROR(AVERAGEIFS(Asistencia!$L:$L,Asistencia!$I:$I,$B35,Asistencia!$M:$M,"Tarde"),"")</f>
        <v/>
      </c>
      <c r="J35" s="15" t="n">
        <f aca="false">COUNTIFS(Asistencia!$I:$I,$B35,Asistencia!$P:$P,"?*")</f>
        <v>0</v>
      </c>
      <c r="K35" s="15" t="n">
        <f aca="false">COUNTIFS(Asistencia!$I:$I,$B35,Asistencia!$R:$R,"No válida")</f>
        <v>0</v>
      </c>
    </row>
    <row r="36" customFormat="false" ht="15" hidden="false" customHeight="false" outlineLevel="0" collapsed="false">
      <c r="A36" s="14" t="s">
        <v>246</v>
      </c>
      <c r="B36" s="15" t="s">
        <v>247</v>
      </c>
      <c r="C36" s="15" t="n">
        <f aca="false">COUNTIFS(Asistencia!$I:$I,$B36)</f>
        <v>0</v>
      </c>
      <c r="D36" s="15" t="n">
        <f aca="false">COUNTIFS(Asistencia!$I:$I,$B36,Asistencia!$M:$M,"A tiempo")</f>
        <v>0</v>
      </c>
      <c r="E36" s="15" t="n">
        <f aca="false">COUNTIFS(Asistencia!$I:$I,$B36,Asistencia!$M:$M,"Tarde")</f>
        <v>0</v>
      </c>
      <c r="F36" s="15" t="n">
        <f aca="false">COUNTIFS(Asistencia!$I:$I,$B36,Asistencia!$M:$M,"No registró")</f>
        <v>0</v>
      </c>
      <c r="G36" s="15" t="n">
        <f aca="false">COUNTIFS(Asistencia!$I:$I,$B36,Asistencia!$N:$N,"NO")</f>
        <v>0</v>
      </c>
      <c r="H36" s="19" t="str">
        <f aca="false">IF(C36=0,"",(D36+E36-K36)/C36)</f>
        <v/>
      </c>
      <c r="I36" s="20" t="str">
        <f aca="false">IFERROR(AVERAGEIFS(Asistencia!$L:$L,Asistencia!$I:$I,$B36,Asistencia!$M:$M,"Tarde"),"")</f>
        <v/>
      </c>
      <c r="J36" s="15" t="n">
        <f aca="false">COUNTIFS(Asistencia!$I:$I,$B36,Asistencia!$P:$P,"?*")</f>
        <v>0</v>
      </c>
      <c r="K36" s="15" t="n">
        <f aca="false">COUNTIFS(Asistencia!$I:$I,$B36,Asistencia!$R:$R,"No válida")</f>
        <v>0</v>
      </c>
    </row>
    <row r="37" customFormat="false" ht="15" hidden="false" customHeight="false" outlineLevel="0" collapsed="false">
      <c r="A37" s="14" t="s">
        <v>109</v>
      </c>
      <c r="B37" s="15" t="s">
        <v>110</v>
      </c>
      <c r="C37" s="15" t="n">
        <f aca="false">COUNTIFS(Asistencia!$I:$I,$B37)</f>
        <v>0</v>
      </c>
      <c r="D37" s="15" t="n">
        <f aca="false">COUNTIFS(Asistencia!$I:$I,$B37,Asistencia!$M:$M,"A tiempo")</f>
        <v>0</v>
      </c>
      <c r="E37" s="15" t="n">
        <f aca="false">COUNTIFS(Asistencia!$I:$I,$B37,Asistencia!$M:$M,"Tarde")</f>
        <v>0</v>
      </c>
      <c r="F37" s="15" t="n">
        <f aca="false">COUNTIFS(Asistencia!$I:$I,$B37,Asistencia!$M:$M,"No registró")</f>
        <v>0</v>
      </c>
      <c r="G37" s="15" t="n">
        <f aca="false">COUNTIFS(Asistencia!$I:$I,$B37,Asistencia!$N:$N,"NO")</f>
        <v>0</v>
      </c>
      <c r="H37" s="19" t="str">
        <f aca="false">IF(C37=0,"",(D37+E37-K37)/C37)</f>
        <v/>
      </c>
      <c r="I37" s="20" t="str">
        <f aca="false">IFERROR(AVERAGEIFS(Asistencia!$L:$L,Asistencia!$I:$I,$B37,Asistencia!$M:$M,"Tarde"),"")</f>
        <v/>
      </c>
      <c r="J37" s="15" t="n">
        <f aca="false">COUNTIFS(Asistencia!$I:$I,$B37,Asistencia!$P:$P,"?*")</f>
        <v>0</v>
      </c>
      <c r="K37" s="15" t="n">
        <f aca="false">COUNTIFS(Asistencia!$I:$I,$B37,Asistencia!$R:$R,"No válida")</f>
        <v>0</v>
      </c>
    </row>
    <row r="38" customFormat="false" ht="15" hidden="false" customHeight="false" outlineLevel="0" collapsed="false">
      <c r="A38" s="14" t="s">
        <v>133</v>
      </c>
      <c r="B38" s="15" t="s">
        <v>134</v>
      </c>
      <c r="C38" s="15" t="n">
        <f aca="false">COUNTIFS(Asistencia!$I:$I,$B38)</f>
        <v>0</v>
      </c>
      <c r="D38" s="15" t="n">
        <f aca="false">COUNTIFS(Asistencia!$I:$I,$B38,Asistencia!$M:$M,"A tiempo")</f>
        <v>0</v>
      </c>
      <c r="E38" s="15" t="n">
        <f aca="false">COUNTIFS(Asistencia!$I:$I,$B38,Asistencia!$M:$M,"Tarde")</f>
        <v>0</v>
      </c>
      <c r="F38" s="15" t="n">
        <f aca="false">COUNTIFS(Asistencia!$I:$I,$B38,Asistencia!$M:$M,"No registró")</f>
        <v>0</v>
      </c>
      <c r="G38" s="15" t="n">
        <f aca="false">COUNTIFS(Asistencia!$I:$I,$B38,Asistencia!$N:$N,"NO")</f>
        <v>0</v>
      </c>
      <c r="H38" s="19" t="str">
        <f aca="false">IF(C38=0,"",(D38+E38-K38)/C38)</f>
        <v/>
      </c>
      <c r="I38" s="20" t="str">
        <f aca="false">IFERROR(AVERAGEIFS(Asistencia!$L:$L,Asistencia!$I:$I,$B38,Asistencia!$M:$M,"Tarde"),"")</f>
        <v/>
      </c>
      <c r="J38" s="15" t="n">
        <f aca="false">COUNTIFS(Asistencia!$I:$I,$B38,Asistencia!$P:$P,"?*")</f>
        <v>0</v>
      </c>
      <c r="K38" s="15" t="n">
        <f aca="false">COUNTIFS(Asistencia!$I:$I,$B38,Asistencia!$R:$R,"No válida")</f>
        <v>0</v>
      </c>
    </row>
    <row r="39" customFormat="false" ht="15" hidden="false" customHeight="false" outlineLevel="0" collapsed="false">
      <c r="A39" s="14" t="s">
        <v>406</v>
      </c>
      <c r="B39" s="15" t="s">
        <v>407</v>
      </c>
      <c r="C39" s="15" t="n">
        <f aca="false">COUNTIFS(Asistencia!$I:$I,$B39)</f>
        <v>0</v>
      </c>
      <c r="D39" s="15" t="n">
        <f aca="false">COUNTIFS(Asistencia!$I:$I,$B39,Asistencia!$M:$M,"A tiempo")</f>
        <v>0</v>
      </c>
      <c r="E39" s="15" t="n">
        <f aca="false">COUNTIFS(Asistencia!$I:$I,$B39,Asistencia!$M:$M,"Tarde")</f>
        <v>0</v>
      </c>
      <c r="F39" s="15" t="n">
        <f aca="false">COUNTIFS(Asistencia!$I:$I,$B39,Asistencia!$M:$M,"No registró")</f>
        <v>0</v>
      </c>
      <c r="G39" s="15" t="n">
        <f aca="false">COUNTIFS(Asistencia!$I:$I,$B39,Asistencia!$N:$N,"NO")</f>
        <v>0</v>
      </c>
      <c r="H39" s="19" t="str">
        <f aca="false">IF(C39=0,"",(D39+E39-K39)/C39)</f>
        <v/>
      </c>
      <c r="I39" s="20" t="str">
        <f aca="false">IFERROR(AVERAGEIFS(Asistencia!$L:$L,Asistencia!$I:$I,$B39,Asistencia!$M:$M,"Tarde"),"")</f>
        <v/>
      </c>
      <c r="J39" s="15" t="n">
        <f aca="false">COUNTIFS(Asistencia!$I:$I,$B39,Asistencia!$P:$P,"?*")</f>
        <v>0</v>
      </c>
      <c r="K39" s="15" t="n">
        <f aca="false">COUNTIFS(Asistencia!$I:$I,$B39,Asistencia!$R:$R,"No válida")</f>
        <v>0</v>
      </c>
    </row>
    <row r="40" customFormat="false" ht="15" hidden="false" customHeight="false" outlineLevel="0" collapsed="false">
      <c r="A40" s="14" t="s">
        <v>287</v>
      </c>
      <c r="B40" s="15" t="s">
        <v>288</v>
      </c>
      <c r="C40" s="15" t="n">
        <f aca="false">COUNTIFS(Asistencia!$I:$I,$B40)</f>
        <v>0</v>
      </c>
      <c r="D40" s="15" t="n">
        <f aca="false">COUNTIFS(Asistencia!$I:$I,$B40,Asistencia!$M:$M,"A tiempo")</f>
        <v>0</v>
      </c>
      <c r="E40" s="15" t="n">
        <f aca="false">COUNTIFS(Asistencia!$I:$I,$B40,Asistencia!$M:$M,"Tarde")</f>
        <v>0</v>
      </c>
      <c r="F40" s="15" t="n">
        <f aca="false">COUNTIFS(Asistencia!$I:$I,$B40,Asistencia!$M:$M,"No registró")</f>
        <v>0</v>
      </c>
      <c r="G40" s="15" t="n">
        <f aca="false">COUNTIFS(Asistencia!$I:$I,$B40,Asistencia!$N:$N,"NO")</f>
        <v>0</v>
      </c>
      <c r="H40" s="19" t="str">
        <f aca="false">IF(C40=0,"",(D40+E40-K40)/C40)</f>
        <v/>
      </c>
      <c r="I40" s="20" t="str">
        <f aca="false">IFERROR(AVERAGEIFS(Asistencia!$L:$L,Asistencia!$I:$I,$B40,Asistencia!$M:$M,"Tarde"),"")</f>
        <v/>
      </c>
      <c r="J40" s="15" t="n">
        <f aca="false">COUNTIFS(Asistencia!$I:$I,$B40,Asistencia!$P:$P,"?*")</f>
        <v>0</v>
      </c>
      <c r="K40" s="15" t="n">
        <f aca="false">COUNTIFS(Asistencia!$I:$I,$B40,Asistencia!$R:$R,"No válida")</f>
        <v>0</v>
      </c>
    </row>
    <row r="41" customFormat="false" ht="15" hidden="false" customHeight="false" outlineLevel="0" collapsed="false">
      <c r="A41" s="14" t="s">
        <v>173</v>
      </c>
      <c r="B41" s="15" t="s">
        <v>174</v>
      </c>
      <c r="C41" s="15" t="n">
        <f aca="false">COUNTIFS(Asistencia!$I:$I,$B41)</f>
        <v>0</v>
      </c>
      <c r="D41" s="15" t="n">
        <f aca="false">COUNTIFS(Asistencia!$I:$I,$B41,Asistencia!$M:$M,"A tiempo")</f>
        <v>0</v>
      </c>
      <c r="E41" s="15" t="n">
        <f aca="false">COUNTIFS(Asistencia!$I:$I,$B41,Asistencia!$M:$M,"Tarde")</f>
        <v>0</v>
      </c>
      <c r="F41" s="15" t="n">
        <f aca="false">COUNTIFS(Asistencia!$I:$I,$B41,Asistencia!$M:$M,"No registró")</f>
        <v>0</v>
      </c>
      <c r="G41" s="15" t="n">
        <f aca="false">COUNTIFS(Asistencia!$I:$I,$B41,Asistencia!$N:$N,"NO")</f>
        <v>0</v>
      </c>
      <c r="H41" s="19" t="str">
        <f aca="false">IF(C41=0,"",(D41+E41-K41)/C41)</f>
        <v/>
      </c>
      <c r="I41" s="20" t="str">
        <f aca="false">IFERROR(AVERAGEIFS(Asistencia!$L:$L,Asistencia!$I:$I,$B41,Asistencia!$M:$M,"Tarde"),"")</f>
        <v/>
      </c>
      <c r="J41" s="15" t="n">
        <f aca="false">COUNTIFS(Asistencia!$I:$I,$B41,Asistencia!$P:$P,"?*")</f>
        <v>0</v>
      </c>
      <c r="K41" s="15" t="n">
        <f aca="false">COUNTIFS(Asistencia!$I:$I,$B41,Asistencia!$R:$R,"No válida")</f>
        <v>0</v>
      </c>
    </row>
    <row r="42" customFormat="false" ht="15" hidden="false" customHeight="false" outlineLevel="0" collapsed="false">
      <c r="A42" s="14" t="s">
        <v>121</v>
      </c>
      <c r="B42" s="15" t="s">
        <v>122</v>
      </c>
      <c r="C42" s="15" t="n">
        <f aca="false">COUNTIFS(Asistencia!$I:$I,$B42)</f>
        <v>0</v>
      </c>
      <c r="D42" s="15" t="n">
        <f aca="false">COUNTIFS(Asistencia!$I:$I,$B42,Asistencia!$M:$M,"A tiempo")</f>
        <v>0</v>
      </c>
      <c r="E42" s="15" t="n">
        <f aca="false">COUNTIFS(Asistencia!$I:$I,$B42,Asistencia!$M:$M,"Tarde")</f>
        <v>0</v>
      </c>
      <c r="F42" s="15" t="n">
        <f aca="false">COUNTIFS(Asistencia!$I:$I,$B42,Asistencia!$M:$M,"No registró")</f>
        <v>0</v>
      </c>
      <c r="G42" s="15" t="n">
        <f aca="false">COUNTIFS(Asistencia!$I:$I,$B42,Asistencia!$N:$N,"NO")</f>
        <v>0</v>
      </c>
      <c r="H42" s="19" t="str">
        <f aca="false">IF(C42=0,"",(D42+E42-K42)/C42)</f>
        <v/>
      </c>
      <c r="I42" s="20" t="str">
        <f aca="false">IFERROR(AVERAGEIFS(Asistencia!$L:$L,Asistencia!$I:$I,$B42,Asistencia!$M:$M,"Tarde"),"")</f>
        <v/>
      </c>
      <c r="J42" s="15" t="n">
        <f aca="false">COUNTIFS(Asistencia!$I:$I,$B42,Asistencia!$P:$P,"?*")</f>
        <v>0</v>
      </c>
      <c r="K42" s="15" t="n">
        <f aca="false">COUNTIFS(Asistencia!$I:$I,$B42,Asistencia!$R:$R,"No válida")</f>
        <v>0</v>
      </c>
    </row>
    <row r="43" customFormat="false" ht="15" hidden="false" customHeight="false" outlineLevel="0" collapsed="false">
      <c r="B43" s="9" t="s">
        <v>808</v>
      </c>
      <c r="C43" s="21" t="n">
        <f aca="false">SUM(C5:C42)</f>
        <v>0</v>
      </c>
      <c r="D43" s="21" t="n">
        <f aca="false">SUM(D5:D42)</f>
        <v>0</v>
      </c>
      <c r="E43" s="21" t="n">
        <f aca="false">SUM(E5:E42)</f>
        <v>0</v>
      </c>
      <c r="F43" s="21" t="n">
        <f aca="false">SUM(F5:F42)</f>
        <v>0</v>
      </c>
      <c r="G43" s="21" t="n">
        <f aca="false">SUM(G5:G42)</f>
        <v>0</v>
      </c>
      <c r="H43" s="22" t="str">
        <f aca="false">IF(C43=0,"",(D43+E43-K43)/C43)</f>
        <v/>
      </c>
      <c r="J43" s="21" t="n">
        <f aca="false">SUM(J5:J42)</f>
        <v>0</v>
      </c>
      <c r="K43" s="21" t="n">
        <f aca="false">SUM(K5:K42)</f>
        <v>0</v>
      </c>
    </row>
  </sheetData>
  <conditionalFormatting sqref="H5:H43">
    <cfRule type="cellIs" priority="2" operator="greaterThanOrEqual" aboveAverage="0" equalAverage="0" bottom="0" percent="0" rank="0" text="" dxfId="3">
      <formula>0.9</formula>
    </cfRule>
    <cfRule type="cellIs" priority="3" operator="between" aboveAverage="0" equalAverage="0" bottom="0" percent="0" rank="0" text="" dxfId="4">
      <formula>0.75</formula>
      <formula>0.8999</formula>
    </cfRule>
    <cfRule type="cellIs" priority="4" operator="lessThan" aboveAverage="0" equalAverage="0" bottom="0" percent="0" rank="0" text="" dxfId="5">
      <formula>0.75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2026-10-16T16:18:15Z</dcterms:created>
  <dc:creator>openpyxl</dc:creator>
  <dc:description/>
  <dc:language>en-US</dc:language>
  <cp:lastModifiedBy/>
  <dcterms:modified xsi:type="dcterms:W3CDTF">2026-10-16T16:18:15Z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